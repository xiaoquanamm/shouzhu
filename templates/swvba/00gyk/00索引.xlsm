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8" Type="http://schemas.openxmlformats.org/officeDocument/2006/relationships/custom-properties" Target="docProps/custom.xml"/><Relationship Id="rId7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6" Type="http://schemas.openxmlformats.org/package/2006/relationships/metadata/core-properties" Target="docProps/core.xml"/><Relationship Id="rId5" Type="http://schemas.microsoft.com/office/2006/relationships/ui/userCustomization" Target="userCustomization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8800" windowHeight="12540"/>
  </bookViews>
  <sheets>
    <sheet name="Sheet1" sheetId="1" r:id="rId1"/>
    <sheet name="Sheet2=设置页" sheetId="2" r:id="rId2"/>
    <sheet name="Sheet3" sheetId="3" r:id="rId3"/>
  </sheets>
  <definedNames>
    <definedName name="swvba动态列表">Sheet1!$E$5</definedName>
    <definedName name="swvba路径">'Sheet2=设置页'!$A$2</definedName>
    <definedName name="工具表">'Sheet2=设置页'!$A$9</definedName>
    <definedName name="公用代码">'Sheet2=设置页'!$A$5</definedName>
    <definedName name="双击获取表路径">Sheet1!#REF!</definedName>
  </definedNames>
  <calcPr calcId="124519"/>
</workbook>
</file>

<file path=xl/calcChain.xml><?xml version="1.0" encoding="utf-8"?>
<calcChain xmlns="http://schemas.openxmlformats.org/spreadsheetml/2006/main">
  <c r="G7" i="1"/>
  <c r="C37"/>
  <c r="H35"/>
  <c r="E34"/>
  <c r="E33"/>
  <c r="F32" s="1"/>
  <c r="C32"/>
  <c r="M31" s="1"/>
  <c r="L31"/>
  <c r="J31" s="1"/>
  <c r="G31"/>
  <c r="J30"/>
  <c r="I30"/>
  <c r="G30"/>
  <c r="F28"/>
  <c r="L27"/>
  <c r="J27"/>
  <c r="I27"/>
  <c r="F26"/>
  <c r="J25"/>
  <c r="F24"/>
  <c r="A20"/>
  <c r="A19"/>
  <c r="M18"/>
  <c r="A18"/>
  <c r="M17"/>
  <c r="J17"/>
  <c r="A17"/>
  <c r="A16"/>
  <c r="G15"/>
  <c r="A15"/>
  <c r="G14"/>
  <c r="A14"/>
  <c r="A10"/>
  <c r="A9"/>
  <c r="A8"/>
  <c r="A7"/>
  <c r="H5" l="1"/>
  <c r="D5"/>
  <c r="B5" l="1"/>
  <c r="A4"/>
  <c r="G3"/>
  <c r="A3"/>
  <c r="G2"/>
  <c r="D2"/>
  <c r="A2"/>
  <c r="G1"/>
  <c r="D1"/>
  <c r="A1"/>
</calcChain>
</file>

<file path=xl/sharedStrings.xml><?xml version="1.0" encoding="utf-8"?>
<sst xmlns="http://schemas.openxmlformats.org/spreadsheetml/2006/main" count="38" uniqueCount="38">
  <si>
    <t>.</t>
  </si>
  <si>
    <t>D:\百度云</t>
  </si>
  <si>
    <t>D:\百度云\Everything-1.4.1.935.x64\Everything.exe</t>
  </si>
  <si>
    <t>..\余魁</t>
  </si>
  <si>
    <t>Z:\技术部\技术部公共盘\01项目文件</t>
  </si>
  <si>
    <t>.\00sw公用</t>
  </si>
  <si>
    <t>D:\百度云\FSCapture\FSCapture.exe</t>
  </si>
  <si>
    <t>D:\00gyk\09其他</t>
  </si>
  <si>
    <t>C:\ProgramData\SOLIDWORKS\SOLIDWORKS 2018\templates</t>
  </si>
  <si>
    <t>D:\我的文档\WeChat Files\laoxiaoyu_\FileStorage\File\2019-12</t>
  </si>
  <si>
    <t>待办事项↓</t>
  </si>
  <si>
    <t>立柱、箱体开孔</t>
  </si>
  <si>
    <t>立杆加长！</t>
  </si>
  <si>
    <t>C:\Users\Administrator\AppData\Roaming\Microsoft\AddIns</t>
  </si>
  <si>
    <t>水银、亚德客、220的板子</t>
  </si>
  <si>
    <t>加958</t>
  </si>
  <si>
    <t>备忘↓</t>
  </si>
  <si>
    <t>.\00sw零件库</t>
    <phoneticPr fontId="4" type="noConversion"/>
  </si>
  <si>
    <t>90公斤以下10到20万，性价比较高 夏工</t>
    <phoneticPr fontId="4" type="noConversion"/>
  </si>
  <si>
    <t>E:\公司文档\技术部\机械\05 培训</t>
  </si>
  <si>
    <t>E:\公司文档\技术部\机械\01 标准规范模板类\模板类\XG图框</t>
  </si>
  <si>
    <t>E:\公司文档\技术部\技术部公共盘</t>
  </si>
  <si>
    <t>E:\公司文档\技术部\技术部公共盘\2D组日常管理\鑫光-机械资料</t>
  </si>
  <si>
    <t>D:\00gyk\02项目</t>
    <phoneticPr fontId="4" type="noConversion"/>
  </si>
  <si>
    <t>E:\公司文档</t>
  </si>
  <si>
    <t>D:\00gyk\02项目\0.1v口罩机项目\00口罩机项目wkb.xlsm</t>
    <phoneticPr fontId="4" type="noConversion"/>
  </si>
  <si>
    <t>陈昌健 计划主管</t>
    <phoneticPr fontId="4" type="noConversion"/>
  </si>
  <si>
    <t>D:\00gyk\02项目\N95口罩机\00N95口罩机wkb.xlsm</t>
  </si>
  <si>
    <t>E:\公司文档\技术部\机械\10标准件选型规范</t>
  </si>
  <si>
    <t>swvba路径</t>
    <phoneticPr fontId="4" type="noConversion"/>
  </si>
  <si>
    <t>D:\00gyk\00sw公用\swvba</t>
  </si>
  <si>
    <t>工具表</t>
    <phoneticPr fontId="4" type="noConversion"/>
  </si>
  <si>
    <t>D:\00gyk\00sw公用\swvba\00工具表.xlsm</t>
    <phoneticPr fontId="4" type="noConversion"/>
  </si>
  <si>
    <t>公用代码</t>
    <phoneticPr fontId="4" type="noConversion"/>
  </si>
  <si>
    <t>D:\00gyk\00sw公用\swvba\00公用代码.xlsm</t>
    <phoneticPr fontId="4" type="noConversion"/>
  </si>
  <si>
    <t>C:\Program Files\SOLIDWORKS Corp\SOLIDWORKS\api\apihelp.chm</t>
    <phoneticPr fontId="4" type="noConversion"/>
  </si>
  <si>
    <t>BOM层次及汇总表=200301.xlsm</t>
  </si>
  <si>
    <t>C:\Program Files\SOLIDWORKS Corp\SOLIDWORKS</t>
    <phoneticPr fontId="4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</si>
</sst>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9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1" fillId="0" borderId="0" xfId="1"/>
    <xf numFmtId="0" fontId="2" fillId="0" borderId="0" xfId="1" applyFont="1"/>
    <xf numFmtId="0" fontId="3" fillId="0" borderId="0" xfId="0" applyFont="1"/>
    <xf numFmtId="14" fontId="0" fillId="0" borderId="0" xfId="0" applyNumberFormat="1"/>
    <xf numFmtId="0" fontId="0" fillId="0" borderId="0" xfId="0" applyAlignment="1"/>
    <xf numFmtId="0" fontId="6" fillId="0" borderId="0" xfId="0" applyFont="1"/>
    <xf numFmtId="0" fontId="7" fillId="0" borderId="0" xfId="1" applyFont="1"/>
    <xf numFmtId="0" fontId="8" fillId="0" borderId="0" xfId="0" applyFont="1"/>
    <xf numFmtId="0" fontId="5" fillId="0" borderId="0" xfId="0" applyFont="1" applyAlignment="1">
      <alignment horizontal="center"/>
    </xf>
  </cellXfs>
  <cellStyles count="2">
    <cellStyle name="常规" xfId="0" builtinId="0"/>
    <cellStyle name="超链接" xfId="1" builtinId="8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7"/>
  <sheetViews>
    <sheetView tabSelected="1" zoomScale="175" zoomScaleNormal="175" workbookViewId="0">
      <pane xSplit="1" ySplit="4" topLeftCell="B5" activePane="bottomRight" state="frozen"/>
      <selection pane="topRight"/>
      <selection pane="bottomLeft"/>
      <selection pane="bottomRight" activeCell="A20" sqref="A20"/>
    </sheetView>
  </sheetViews>
  <sheetFormatPr defaultRowHeight="13.5"/>
  <cols>
    <col min="1" max="1" width="3.375" customWidth="1"/>
    <col min="2" max="2" width="9.375" customWidth="1"/>
    <col min="3" max="3" width="9" customWidth="1"/>
    <col min="4" max="4" width="3.25" customWidth="1"/>
    <col min="5" max="5" width="12.625" customWidth="1"/>
    <col min="6" max="6" width="12.625"/>
    <col min="7" max="7" width="4.25" customWidth="1"/>
    <col min="9" max="9" width="9.5" customWidth="1"/>
    <col min="11" max="13" width="11.625" bestFit="1" customWidth="1"/>
  </cols>
  <sheetData>
    <row r="1" spans="1:8">
      <c r="A1" s="3" t="str">
        <f t="shared" ref="A1:A8" si="0">HYPERLINK(B1,"→")</f>
        <v>→</v>
      </c>
      <c r="B1" t="s">
        <v>0</v>
      </c>
      <c r="D1" s="3" t="str">
        <f>HYPERLINK(E1,"→")</f>
        <v>→</v>
      </c>
      <c r="E1" t="s">
        <v>1</v>
      </c>
      <c r="G1" s="3" t="str">
        <f>HYPERLINK(H1,"→")</f>
        <v>→</v>
      </c>
      <c r="H1" t="s">
        <v>2</v>
      </c>
    </row>
    <row r="2" spans="1:8">
      <c r="A2" s="3" t="str">
        <f t="shared" si="0"/>
        <v>→</v>
      </c>
      <c r="B2" t="s">
        <v>3</v>
      </c>
      <c r="D2" s="3" t="str">
        <f>HYPERLINK(E2,"→")</f>
        <v>→</v>
      </c>
      <c r="G2" s="3" t="str">
        <f>HYPERLINK(H2,"→")</f>
        <v>→</v>
      </c>
      <c r="H2" s="9" t="s">
        <v>35</v>
      </c>
    </row>
    <row r="3" spans="1:8">
      <c r="A3" s="3" t="str">
        <f t="shared" si="0"/>
        <v>→</v>
      </c>
      <c r="B3" t="s">
        <v>5</v>
      </c>
      <c r="G3" s="3" t="str">
        <f>HYPERLINK(H3,"→")</f>
        <v>→</v>
      </c>
      <c r="H3" t="s">
        <v>6</v>
      </c>
    </row>
    <row r="4" spans="1:8">
      <c r="A4" s="3" t="str">
        <f t="shared" si="0"/>
        <v>→</v>
      </c>
      <c r="B4" t="s">
        <v>17</v>
      </c>
      <c r="D4" s="3"/>
      <c r="G4" s="3"/>
    </row>
    <row r="5" spans="1:8">
      <c r="A5" s="8"/>
      <c r="B5" s="8" t="str">
        <f>HYPERLINK(swvba路径,"swvba路径")</f>
        <v>swvba路径</v>
      </c>
      <c r="D5" s="8" t="str">
        <f>HYPERLINK(swvba路径&amp;"\"&amp;swvba动态列表,"=&gt;")</f>
        <v>=&gt;</v>
      </c>
      <c r="E5" s="10" t="s">
        <v>36</v>
      </c>
      <c r="F5" s="10"/>
      <c r="G5" s="2"/>
      <c r="H5" s="2" t="str">
        <f>HYPERLINK(公用代码,"00公用代码")</f>
        <v>00公用代码</v>
      </c>
    </row>
    <row r="6" spans="1:8">
      <c r="A6" s="3"/>
      <c r="G6" s="3"/>
    </row>
    <row r="7" spans="1:8">
      <c r="A7" s="3" t="str">
        <f t="shared" si="0"/>
        <v>→</v>
      </c>
      <c r="B7" s="1" t="s">
        <v>7</v>
      </c>
      <c r="C7" s="1"/>
      <c r="G7" s="3" t="str">
        <f>HYPERLINK(H7,"→")</f>
        <v>→</v>
      </c>
      <c r="H7" s="9" t="s">
        <v>37</v>
      </c>
    </row>
    <row r="8" spans="1:8">
      <c r="A8" s="3" t="str">
        <f t="shared" si="0"/>
        <v>→</v>
      </c>
      <c r="B8" t="s">
        <v>23</v>
      </c>
      <c r="C8" s="1"/>
      <c r="G8" s="3"/>
    </row>
    <row r="9" spans="1:8">
      <c r="A9" s="2" t="str">
        <f>HYPERLINK(B9,"→")</f>
        <v>→</v>
      </c>
      <c r="B9" t="s">
        <v>25</v>
      </c>
      <c r="C9" s="1"/>
      <c r="G9" s="3"/>
    </row>
    <row r="10" spans="1:8">
      <c r="A10" s="2" t="str">
        <f>HYPERLINK(B10,"→")</f>
        <v>→</v>
      </c>
      <c r="B10" t="s">
        <v>27</v>
      </c>
      <c r="C10" s="1"/>
      <c r="G10" s="3"/>
    </row>
    <row r="11" spans="1:8">
      <c r="A11" s="3"/>
      <c r="C11" s="1"/>
      <c r="G11" s="3"/>
    </row>
    <row r="12" spans="1:8">
      <c r="A12" s="2"/>
      <c r="B12" s="1"/>
      <c r="C12" s="1"/>
      <c r="G12" s="3"/>
    </row>
    <row r="13" spans="1:8">
      <c r="E13" s="2"/>
      <c r="G13" s="3"/>
    </row>
    <row r="14" spans="1:8">
      <c r="A14" s="3" t="str">
        <f t="shared" ref="A14:A20" si="1">HYPERLINK(B14,"→")</f>
        <v>→</v>
      </c>
      <c r="B14" t="s">
        <v>4</v>
      </c>
      <c r="G14" s="3" t="str">
        <f>HYPERLINK(H14,"→")</f>
        <v>→</v>
      </c>
      <c r="H14" t="s">
        <v>8</v>
      </c>
    </row>
    <row r="15" spans="1:8">
      <c r="A15" s="3" t="str">
        <f t="shared" si="1"/>
        <v>→</v>
      </c>
      <c r="B15" t="s">
        <v>19</v>
      </c>
      <c r="G15" s="3" t="str">
        <f>HYPERLINK(H15,"→")</f>
        <v>→</v>
      </c>
      <c r="H15" t="s">
        <v>9</v>
      </c>
    </row>
    <row r="16" spans="1:8">
      <c r="A16" s="3" t="str">
        <f t="shared" si="1"/>
        <v>→</v>
      </c>
      <c r="B16" t="s">
        <v>20</v>
      </c>
      <c r="G16" s="3"/>
    </row>
    <row r="17" spans="1:13">
      <c r="A17" s="3" t="str">
        <f t="shared" si="1"/>
        <v>→</v>
      </c>
      <c r="B17" t="s">
        <v>21</v>
      </c>
      <c r="G17" s="3"/>
      <c r="J17">
        <f>360/200</f>
        <v>1.8</v>
      </c>
      <c r="K17" s="5">
        <v>43829</v>
      </c>
      <c r="L17">
        <v>1</v>
      </c>
      <c r="M17" s="5">
        <f>K17+L17</f>
        <v>43830</v>
      </c>
    </row>
    <row r="18" spans="1:13">
      <c r="A18" s="3" t="str">
        <f t="shared" si="1"/>
        <v>→</v>
      </c>
      <c r="B18" t="s">
        <v>22</v>
      </c>
      <c r="G18" s="3"/>
      <c r="K18" s="5">
        <v>43829</v>
      </c>
      <c r="L18" s="5">
        <v>43843</v>
      </c>
      <c r="M18">
        <f>L18-K18+1</f>
        <v>15</v>
      </c>
    </row>
    <row r="19" spans="1:13">
      <c r="A19" s="3" t="str">
        <f t="shared" si="1"/>
        <v>→</v>
      </c>
      <c r="B19" t="s">
        <v>28</v>
      </c>
      <c r="G19" s="3"/>
      <c r="K19" s="5"/>
      <c r="M19" s="5"/>
    </row>
    <row r="20" spans="1:13">
      <c r="A20" s="3" t="str">
        <f t="shared" si="1"/>
        <v>→</v>
      </c>
      <c r="B20" t="s">
        <v>24</v>
      </c>
      <c r="G20" s="3"/>
      <c r="K20" s="5"/>
      <c r="M20" s="5"/>
    </row>
    <row r="21" spans="1:13">
      <c r="A21" s="3"/>
      <c r="G21" s="3"/>
      <c r="K21" s="5"/>
      <c r="M21" s="5"/>
    </row>
    <row r="22" spans="1:13">
      <c r="B22" s="4" t="s">
        <v>10</v>
      </c>
    </row>
    <row r="23" spans="1:13">
      <c r="B23" s="1" t="s">
        <v>11</v>
      </c>
    </row>
    <row r="24" spans="1:13">
      <c r="A24" s="3"/>
      <c r="B24" t="s">
        <v>12</v>
      </c>
      <c r="F24" t="e">
        <f>MATCH(1.25,H24:K32,1)</f>
        <v>#N/A</v>
      </c>
      <c r="H24" t="s">
        <v>13</v>
      </c>
    </row>
    <row r="25" spans="1:13">
      <c r="J25">
        <f>4780-1480</f>
        <v>3300</v>
      </c>
    </row>
    <row r="26" spans="1:13">
      <c r="B26" t="s">
        <v>14</v>
      </c>
      <c r="F26">
        <f>1585-1430</f>
        <v>155</v>
      </c>
    </row>
    <row r="27" spans="1:13">
      <c r="B27" t="s">
        <v>15</v>
      </c>
      <c r="H27">
        <v>3854</v>
      </c>
      <c r="I27">
        <f>12*16</f>
        <v>192</v>
      </c>
      <c r="J27">
        <f>20/16</f>
        <v>1.25</v>
      </c>
      <c r="L27">
        <f>958/140</f>
        <v>6.8428571428571425</v>
      </c>
    </row>
    <row r="28" spans="1:13">
      <c r="B28" s="4" t="s">
        <v>16</v>
      </c>
      <c r="F28">
        <f>494*8</f>
        <v>3952</v>
      </c>
    </row>
    <row r="29" spans="1:13">
      <c r="B29" t="s">
        <v>18</v>
      </c>
    </row>
    <row r="30" spans="1:13">
      <c r="B30" s="6" t="s">
        <v>26</v>
      </c>
      <c r="F30">
        <v>25.4</v>
      </c>
      <c r="G30">
        <f>F30/8</f>
        <v>3.1749999999999998</v>
      </c>
      <c r="H30">
        <v>10</v>
      </c>
      <c r="I30">
        <f>H30*G30</f>
        <v>31.75</v>
      </c>
      <c r="J30">
        <f>I30/2</f>
        <v>15.875</v>
      </c>
      <c r="L30">
        <v>0.6</v>
      </c>
    </row>
    <row r="31" spans="1:13">
      <c r="E31">
        <v>1024</v>
      </c>
      <c r="F31">
        <v>768</v>
      </c>
      <c r="G31">
        <f>E31/F31</f>
        <v>1.3333333333333333</v>
      </c>
      <c r="I31">
        <v>4.6199999999999998E-2</v>
      </c>
      <c r="J31">
        <f>J30*J30</f>
        <v>252.015625</v>
      </c>
      <c r="K31">
        <v>500</v>
      </c>
      <c r="L31">
        <f>L30+0.102</f>
        <v>0.70199999999999996</v>
      </c>
      <c r="M31">
        <f>I31*J31*K31*L31</f>
        <v>4086.7357781249998</v>
      </c>
    </row>
    <row r="32" spans="1:13">
      <c r="C32">
        <f>912-521</f>
        <v>391</v>
      </c>
      <c r="E32">
        <v>1440</v>
      </c>
      <c r="F32">
        <f>E32/G31</f>
        <v>1080</v>
      </c>
    </row>
    <row r="33" spans="3:9">
      <c r="E33">
        <f>5+10+15+5+5</f>
        <v>40</v>
      </c>
    </row>
    <row r="34" spans="3:9">
      <c r="E34">
        <f>5+5+10+16+25+10+25+5+5</f>
        <v>106</v>
      </c>
    </row>
    <row r="35" spans="3:9">
      <c r="C35">
        <v>531</v>
      </c>
      <c r="H35">
        <f>3080/140</f>
        <v>22</v>
      </c>
      <c r="I35">
        <v>20160711</v>
      </c>
    </row>
    <row r="36" spans="3:9">
      <c r="C36">
        <v>143</v>
      </c>
    </row>
    <row r="37" spans="3:9">
      <c r="C37">
        <f>C35-C36</f>
        <v>388</v>
      </c>
    </row>
  </sheetData>
  <mergeCells count="1">
    <mergeCell ref="E5:F5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3"/>
  <sheetViews>
    <sheetView zoomScale="145" zoomScaleNormal="145" workbookViewId="0">
      <selection activeCell="A7" sqref="A7"/>
    </sheetView>
  </sheetViews>
  <sheetFormatPr defaultColWidth="9" defaultRowHeight="13.5"/>
  <cols>
    <col min="1" max="1" width="40.875" bestFit="1" customWidth="1"/>
    <col min="2" max="2" width="25.75" bestFit="1" customWidth="1"/>
  </cols>
  <sheetData>
    <row r="1" spans="1:2" s="7" customFormat="1" ht="19.5" customHeight="1">
      <c r="A1" s="7" t="s">
        <v>29</v>
      </c>
    </row>
    <row r="2" spans="1:2">
      <c r="A2" s="1" t="s">
        <v>30</v>
      </c>
    </row>
    <row r="3" spans="1:2">
      <c r="A3" s="1"/>
    </row>
    <row r="4" spans="1:2">
      <c r="A4" s="7" t="s">
        <v>33</v>
      </c>
    </row>
    <row r="5" spans="1:2">
      <c r="A5" t="s">
        <v>34</v>
      </c>
    </row>
    <row r="6" spans="1:2">
      <c r="A6" s="1"/>
      <c r="B6" s="2"/>
    </row>
    <row r="7" spans="1:2">
      <c r="A7" s="1"/>
      <c r="B7" s="1"/>
    </row>
    <row r="8" spans="1:2">
      <c r="A8" s="7" t="s">
        <v>31</v>
      </c>
      <c r="B8" s="2"/>
    </row>
    <row r="9" spans="1:2">
      <c r="A9" t="s">
        <v>32</v>
      </c>
      <c r="B9" s="1"/>
    </row>
    <row r="10" spans="1:2">
      <c r="B10" s="2"/>
    </row>
    <row r="11" spans="1:2">
      <c r="A11" s="1"/>
    </row>
    <row r="12" spans="1:2">
      <c r="A12" s="1"/>
    </row>
    <row r="13" spans="1:2">
      <c r="A13" s="1"/>
    </row>
    <row r="14" spans="1:2">
      <c r="A14" s="1"/>
    </row>
    <row r="15" spans="1:2">
      <c r="A15" s="1"/>
    </row>
    <row r="16" spans="1:2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  <row r="22" spans="1:1">
      <c r="A22" s="1"/>
    </row>
    <row r="23" spans="1:1">
      <c r="A23" s="1"/>
    </row>
  </sheetData>
  <phoneticPr fontId="4" type="noConversion"/>
  <pageMargins left="0.69930555555555596" right="0.69930555555555596" top="0.75" bottom="0.75" header="0.3" footer="0.3"/>
  <pageSetup paperSize="9" orientation="portrait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J1"/>
  <sheetViews>
    <sheetView zoomScale="130" zoomScaleNormal="130" workbookViewId="0">
      <selection sqref="A1:C3"/>
    </sheetView>
  </sheetViews>
  <sheetFormatPr defaultColWidth="9" defaultRowHeight="13.5"/>
  <cols>
    <col min="1" max="1" width="11" customWidth="1"/>
    <col min="2" max="2" width="7.5" customWidth="1"/>
    <col min="3" max="3" width="6.5" customWidth="1"/>
    <col min="4" max="4" width="7.125" customWidth="1"/>
    <col min="6" max="6" width="5.25" customWidth="1"/>
    <col min="7" max="8" width="8.5" customWidth="1"/>
    <col min="9" max="9" width="7.125" customWidth="1"/>
    <col min="10" max="10" width="8.5" customWidth="1"/>
  </cols>
  <sheetData>
    <row r="1" spans="10:10">
      <c r="J1" s="1"/>
    </row>
  </sheetData>
  <phoneticPr fontId="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Sheet1</vt:lpstr>
      <vt:lpstr>Sheet2=设置页</vt:lpstr>
      <vt:lpstr>Sheet3</vt:lpstr>
      <vt:lpstr>swvba动态列表</vt:lpstr>
      <vt:lpstr>swvba路径</vt:lpstr>
      <vt:lpstr>工具表</vt:lpstr>
      <vt:lpstr>公用代码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</cp:lastModifiedBy>
  <dcterms:created xsi:type="dcterms:W3CDTF">2006-09-16T00:00:00Z</dcterms:created>
  <dcterms:modified xsi:type="dcterms:W3CDTF">2020-03-02T06:00:47Z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

<file path=userCustomization/customUI.xml>
</file>