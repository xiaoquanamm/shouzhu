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lates\swvba\"/>
    </mc:Choice>
  </mc:AlternateContent>
  <xr:revisionPtr revIDLastSave="0" documentId="13_ncr:1_{762F20D6-049C-4B37-AAEA-6B73C5D80EE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=设置页" sheetId="2" r:id="rId2"/>
  </sheets>
  <functionGroups builtInGroupCount="19"/>
  <definedNames>
    <definedName name="_xlnm._FilterDatabase" localSheetId="0" hidden="1">Sheet1!$A$1:$Y$1</definedName>
    <definedName name="DESCRIPTION">Sheet1!$Z$1</definedName>
    <definedName name="板材乘符号">'Sheet2=设置页'!$I$25</definedName>
    <definedName name="板材厚度符号">'Sheet2=设置页'!$K$25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型材规格形式">'Sheet2=设置页'!$I$23</definedName>
    <definedName name="型材长度符号">'Sheet2=设置页'!$I$23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<sst xmlns="http://schemas.openxmlformats.org/spreadsheetml/2006/main" count="176" uniqueCount="143">
  <si>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</si>
  <si>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</si>
  <si>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</si>
  <si>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</si>
  <si>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</si>
  <si>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</si>
  <si>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</si>
  <si>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</si>
  <si>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</si>
  <si>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</si>
  <si>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</si>
  <si>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</si>
  <si>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</si>
  <si>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</si>
  <si>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</si>
  <si>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</si>
  <si>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</si>
  <si>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</si>
  <si>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</si>
  <si>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</si>
  <si>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</si>
  <si>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</si>
  <si>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</si>
  <si>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</si>
  <si>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</si>
  <si>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</si>
  <si>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</si>
  <si>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</si>
  <si>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</si>
  <si>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</si>
  <si>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</si>
  <si>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</si>
  <si>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</si>
  <si>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</si>
  <si>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</si>
  <si>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</si>
  <si>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</si>
  <si>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</si>
  <si>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</si>
  <si>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</si>
  <si>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</si>
  <si>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</si>
  <si>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</si>
  <si>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</si>
  <si>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</si>
  <si>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</si>
  <si>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</si>
  <si>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</si>
  <si>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</si>
  <si>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</si>
  <si>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</si>
  <si>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</si>
  <si>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</si>
  <si>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</si>
  <si>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</si>
  <si>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</si>
  <si>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</si>
  <si>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</si>
  <si>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</si>
  <si>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</si>
  <si>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</si>
  <si>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</si>
  <si>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</si>
  <si>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</si>
  <si>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</si>
  <si>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</si>
  <si>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</si>
  <si>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</si>
  <si>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</si>
  <si>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</si>
  <si>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</si>
  <si>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</si>
  <si>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</si>
  <si>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</si>
  <si>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</si>
  <si>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</si>
  <si>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</si>
  <si>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</si>
  <si>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</si>
  <si>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</si>
  <si>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</si>
  <si>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</si>
  <si>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</si>
  <si>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</si>
  <si>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</si>
  <si>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</si>
  <si>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</si>
  <si>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</si>
  <si>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</si>
  <si>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</si>
  <si>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</si>
  <si>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</si>
  <si>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</si>
  <si>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</si>
  <si>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</si>
  <si>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</si>
  <si>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</si>
  <si>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</si>
  <si>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</si>
  <si>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</si>
  <si>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</si>
  <si>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</si>
  <si>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</si>
  <si>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</si>
  <si>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</si>
  <si>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</si>
  <si>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</si>
  <si>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</si>
  <si>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</si>
  <si>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</si>
  <si>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</si>
  <si>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</si>
  <si>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</si>
  <si>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</si>
  <si>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</si>
  <si>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</si>
  <si>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</si>
  <si>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</si>
  <si>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</si>
  <si>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</si>
  <si>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</si>
  <si>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</si>
  <si>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</si>
  <si>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</si>
  <si>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V2.0</t>
    <phoneticPr fontId="1" type="noConversion"/>
  </si>
  <si>
    <t>长度值</t>
    <phoneticPr fontId="1" type="noConversion"/>
  </si>
  <si>
    <t>X</t>
    <phoneticPr fontId="1" type="noConversion"/>
  </si>
  <si>
    <t>宽度值</t>
    <phoneticPr fontId="1" type="noConversion"/>
  </si>
  <si>
    <t>截面尺寸值</t>
    <phoneticPr fontId="1" type="noConversion"/>
  </si>
  <si>
    <t>举例</t>
    <phoneticPr fontId="1" type="noConversion"/>
  </si>
  <si>
    <t>型材长度符号</t>
    <phoneticPr fontId="1" type="noConversion"/>
  </si>
  <si>
    <t>板材厚度符号</t>
    <phoneticPr fontId="1" type="noConversion"/>
  </si>
  <si>
    <t>板材乘符号</t>
    <phoneticPr fontId="1" type="noConversion"/>
  </si>
  <si>
    <t>厚</t>
  </si>
  <si>
    <t>长</t>
  </si>
  <si>
    <r>
      <t>40*40*4</t>
    </r>
    <r>
      <rPr>
        <sz val="11"/>
        <color rgb="FFFF0000"/>
        <rFont val="宋体"/>
        <family val="3"/>
        <charset val="134"/>
        <scheme val="minor"/>
      </rPr>
      <t>长</t>
    </r>
    <r>
      <rPr>
        <sz val="11"/>
        <color theme="1"/>
        <rFont val="宋体"/>
        <family val="2"/>
        <charset val="134"/>
        <scheme val="minor"/>
      </rPr>
      <t>99</t>
    </r>
    <phoneticPr fontId="1" type="noConversion"/>
  </si>
  <si>
    <r>
      <t>100</t>
    </r>
    <r>
      <rPr>
        <sz val="11"/>
        <color rgb="FFFF0000"/>
        <rFont val="宋体"/>
        <family val="3"/>
        <charset val="134"/>
        <scheme val="minor"/>
      </rPr>
      <t>X</t>
    </r>
    <r>
      <rPr>
        <sz val="11"/>
        <color theme="1"/>
        <rFont val="宋体"/>
        <family val="2"/>
        <charset val="134"/>
        <scheme val="minor"/>
      </rPr>
      <t>20</t>
    </r>
    <r>
      <rPr>
        <sz val="11"/>
        <color rgb="FFFF0000"/>
        <rFont val="宋体"/>
        <family val="3"/>
        <charset val="134"/>
        <scheme val="minor"/>
      </rPr>
      <t>厚</t>
    </r>
    <r>
      <rPr>
        <sz val="11"/>
        <color theme="1"/>
        <rFont val="宋体"/>
        <family val="2"/>
        <charset val="134"/>
        <scheme val="minor"/>
      </rPr>
      <t>2</t>
    </r>
    <phoneticPr fontId="1" type="noConversion"/>
  </si>
  <si>
    <t>S45C</t>
    <phoneticPr fontId="1" type="noConversion"/>
  </si>
  <si>
    <t>AL6061</t>
    <phoneticPr fontId="1" type="noConversion"/>
  </si>
  <si>
    <t>SURUN materials all</t>
  </si>
  <si>
    <t>SURUN materials all</t>
    <phoneticPr fontId="1" type="noConversion"/>
  </si>
  <si>
    <t>D:\templates\Materials</t>
    <phoneticPr fontId="1" type="noConversion"/>
  </si>
  <si>
    <t>透明PC耐力板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</si>
</sst>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&quot;遍历阵列零件? &quot;@"/>
    <numFmt numFmtId="178" formatCode="&quot;改属性后是否保存? 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  <font>
      <sz val="11"/>
      <color rgb="FFFF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40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1" xfId="0" applyBorder="1">
      <alignment vertical="center"/>
    </xf>
    <xf numFmtId="0" fontId="11" fillId="0" borderId="1" xfId="0" applyFont="1" applyBorder="1" applyAlignment="1">
      <alignment horizontal="center" vertical="center" shrinkToFit="1"/>
    </xf>
    <xf numFmtId="0" fontId="9" fillId="0" borderId="1" xfId="0" applyNumberFormat="1" applyFont="1" applyBorder="1" applyAlignment="1">
      <alignment horizontal="center" vertical="center"/>
    </xf>
    <xf numFmtId="0" fontId="0" fillId="4" borderId="0" xfId="0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4">
    <cellStyle name="常规" xfId="0" builtinId="0"/>
    <cellStyle name="常规 2" xfId="2" xr:uid="{00000000-0005-0000-0000-000001000000}"/>
    <cellStyle name="超链接" xfId="3" builtinId="8" customBuiltin="1"/>
    <cellStyle name="一般 2" xfId="1" xr:uid="{00000000-0005-0000-0000-000003000000}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495300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4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H27" sqref="H27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39</v>
      </c>
      <c r="B1" s="1" t="s">
        <v>0</v>
      </c>
      <c r="C1" s="1" t="s">
        <v>1</v>
      </c>
      <c r="D1" s="1" t="s">
        <v>37</v>
      </c>
      <c r="E1" s="1" t="s">
        <v>2</v>
      </c>
      <c r="F1" s="22" t="s">
        <v>48</v>
      </c>
      <c r="G1" s="3" t="s">
        <v>47</v>
      </c>
      <c r="H1" s="30" t="s">
        <v>31</v>
      </c>
      <c r="I1" s="4" t="s">
        <v>116</v>
      </c>
      <c r="J1" s="32" t="s">
        <v>123</v>
      </c>
      <c r="K1" s="4" t="s">
        <v>121</v>
      </c>
      <c r="L1" s="4" t="s">
        <v>117</v>
      </c>
      <c r="M1" s="4" t="s">
        <v>119</v>
      </c>
      <c r="N1" s="4" t="s">
        <v>5</v>
      </c>
      <c r="O1" s="4" t="s">
        <v>42</v>
      </c>
      <c r="P1" s="4" t="s">
        <v>118</v>
      </c>
      <c r="Q1" s="13" t="s">
        <v>15</v>
      </c>
      <c r="R1" s="4" t="s">
        <v>6</v>
      </c>
      <c r="S1" s="4" t="s">
        <v>7</v>
      </c>
      <c r="T1" s="1" t="s">
        <v>50</v>
      </c>
      <c r="U1" s="1" t="s">
        <v>112</v>
      </c>
      <c r="V1" s="15" t="s">
        <v>32</v>
      </c>
      <c r="W1" s="15" t="s">
        <v>33</v>
      </c>
      <c r="X1" s="15" t="s">
        <v>34</v>
      </c>
      <c r="Y1" s="15" t="s">
        <v>35</v>
      </c>
      <c r="Z1" s="1" t="s">
        <v>105</v>
      </c>
    </row>
    <row r="2" spans="1:26" s="12" customFormat="1" x14ac:dyDescent="0.15">
      <c r="A2" s="33"/>
      <c r="B2" s="9"/>
      <c r="C2" s="11"/>
      <c r="D2" s="9"/>
      <c r="E2" s="9"/>
      <c r="F2" s="9"/>
      <c r="G2" s="9"/>
      <c r="H2" s="38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s="12" customFormat="1" x14ac:dyDescent="0.15">
      <c r="A3" s="33"/>
      <c r="B3" s="9"/>
      <c r="C3" s="11"/>
      <c r="D3" s="9"/>
      <c r="E3" s="9"/>
      <c r="F3" s="9"/>
      <c r="G3" s="9"/>
      <c r="H3" s="38"/>
      <c r="I3" s="9"/>
      <c r="J3" s="9"/>
      <c r="K3" s="37"/>
      <c r="L3" s="9"/>
      <c r="M3" s="37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s="12" customFormat="1" x14ac:dyDescent="0.15">
      <c r="A4" s="33"/>
      <c r="B4" s="9"/>
      <c r="C4" s="11"/>
      <c r="D4" s="9"/>
      <c r="E4" s="9"/>
      <c r="F4" s="9"/>
      <c r="G4" s="9"/>
      <c r="H4" s="38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x14ac:dyDescent="0.15">
      <c r="A5" s="33"/>
      <c r="B5" s="9"/>
      <c r="C5" s="11"/>
      <c r="D5" s="9"/>
      <c r="E5" s="9"/>
      <c r="G5" s="9"/>
      <c r="H5" s="38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15">
      <c r="K6" s="37"/>
      <c r="M6" s="37"/>
      <c r="Z6" s="9"/>
    </row>
    <row r="7" spans="1:26" x14ac:dyDescent="0.15">
      <c r="G7" s="9"/>
      <c r="K7" s="37"/>
      <c r="M7" s="37"/>
      <c r="Z7" s="9"/>
    </row>
    <row r="8" spans="1:26" x14ac:dyDescent="0.15">
      <c r="A8" s="33"/>
      <c r="B8" s="9"/>
      <c r="C8" s="11"/>
      <c r="D8" s="9"/>
      <c r="E8" s="9"/>
      <c r="G8" s="9"/>
      <c r="H8" s="38"/>
      <c r="I8" s="9"/>
      <c r="J8" s="9"/>
      <c r="K8" s="37"/>
      <c r="L8" s="9"/>
      <c r="M8" s="37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G9" s="9"/>
      <c r="K9" s="37"/>
      <c r="M9" s="37"/>
      <c r="Z9" s="9"/>
    </row>
    <row r="10" spans="1:26" x14ac:dyDescent="0.15">
      <c r="A10" s="33"/>
      <c r="B10" s="9"/>
      <c r="C10" s="11"/>
      <c r="D10" s="9"/>
      <c r="E10" s="9"/>
      <c r="G10" s="9"/>
      <c r="H10" s="38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8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8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8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15">
      <c r="A14" s="33"/>
      <c r="B14" s="9"/>
      <c r="C14" s="11"/>
      <c r="D14" s="9"/>
      <c r="E14" s="9"/>
      <c r="G14" s="9"/>
      <c r="H14" s="38"/>
      <c r="I14" s="9"/>
      <c r="J14" s="9"/>
      <c r="K14" s="37"/>
      <c r="L14" s="9"/>
      <c r="M14" s="37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15">
      <c r="A15" s="33"/>
      <c r="B15" s="9"/>
      <c r="C15" s="11"/>
      <c r="D15" s="9"/>
      <c r="E15" s="9"/>
      <c r="G15" s="9"/>
      <c r="H15" s="38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</row>
    <row r="16" spans="1:26" x14ac:dyDescent="0.15">
      <c r="A16" s="33"/>
      <c r="B16" s="9"/>
      <c r="C16" s="11"/>
      <c r="D16" s="9"/>
      <c r="E16" s="9"/>
      <c r="G16" s="9"/>
      <c r="H16" s="38"/>
      <c r="I16" s="9"/>
      <c r="J16" s="9"/>
      <c r="K16" s="37"/>
      <c r="L16" s="9"/>
      <c r="M16" s="37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</row>
    <row r="17" spans="1:25" x14ac:dyDescent="0.15">
      <c r="K17" s="37"/>
      <c r="M17" s="37"/>
    </row>
    <row r="18" spans="1:25" x14ac:dyDescent="0.15">
      <c r="K18" s="37"/>
      <c r="M18" s="37"/>
    </row>
    <row r="19" spans="1:25" x14ac:dyDescent="0.15">
      <c r="K19" s="37"/>
      <c r="M19" s="37"/>
    </row>
    <row r="20" spans="1:25" x14ac:dyDescent="0.15">
      <c r="G20" s="9"/>
      <c r="K20" s="37"/>
      <c r="M20" s="37"/>
    </row>
    <row r="21" spans="1:25" x14ac:dyDescent="0.15">
      <c r="G21" s="9"/>
      <c r="K21" s="37"/>
      <c r="M21" s="37"/>
    </row>
    <row r="22" spans="1:25" x14ac:dyDescent="0.15">
      <c r="A22" s="33"/>
      <c r="B22" s="9"/>
      <c r="C22" s="11"/>
      <c r="D22" s="9"/>
      <c r="E22" s="9"/>
      <c r="G22" s="9"/>
      <c r="H22" s="38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</row>
    <row r="23" spans="1:25" x14ac:dyDescent="0.15">
      <c r="K23" s="37"/>
      <c r="M23" s="37"/>
    </row>
    <row r="24" spans="1:25" x14ac:dyDescent="0.15">
      <c r="K24" s="37"/>
      <c r="M24" s="37"/>
    </row>
    <row r="25" spans="1:25" x14ac:dyDescent="0.15">
      <c r="A25" s="33"/>
      <c r="B25" s="9"/>
      <c r="C25" s="11"/>
      <c r="D25" s="9"/>
      <c r="E25" s="9"/>
      <c r="G25" s="9"/>
      <c r="H25" s="38"/>
      <c r="I25" s="9"/>
      <c r="J25" s="9"/>
      <c r="K25" s="37"/>
      <c r="L25" s="9"/>
      <c r="M25" s="37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</row>
    <row r="26" spans="1:25" x14ac:dyDescent="0.15">
      <c r="A26" s="33"/>
      <c r="B26" s="9"/>
      <c r="C26" s="11"/>
      <c r="D26" s="9"/>
      <c r="E26" s="9"/>
      <c r="G26" s="9"/>
      <c r="H26" s="38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</row>
    <row r="27" spans="1:25" x14ac:dyDescent="0.15">
      <c r="A27" s="33"/>
      <c r="B27" s="9"/>
      <c r="C27" s="11"/>
      <c r="D27" s="9"/>
      <c r="E27" s="9"/>
      <c r="G27" s="9"/>
      <c r="H27" s="38"/>
      <c r="I27" s="9"/>
      <c r="J27" s="9"/>
      <c r="K27" s="37"/>
      <c r="L27" s="9"/>
      <c r="M27" s="37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</row>
    <row r="28" spans="1:25" x14ac:dyDescent="0.15">
      <c r="A28" s="33"/>
      <c r="B28" s="9"/>
      <c r="C28" s="11"/>
      <c r="D28" s="9"/>
      <c r="E28" s="9"/>
      <c r="G28" s="9"/>
      <c r="H28" s="38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</row>
    <row r="29" spans="1:25" x14ac:dyDescent="0.15">
      <c r="A29" s="33"/>
      <c r="B29" s="9"/>
      <c r="C29" s="11"/>
      <c r="D29" s="9"/>
      <c r="E29" s="9"/>
      <c r="G29" s="9"/>
      <c r="H29" s="38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</row>
    <row r="30" spans="1:25" x14ac:dyDescent="0.15">
      <c r="K30" s="37"/>
      <c r="M30" s="37"/>
    </row>
    <row r="31" spans="1:25" x14ac:dyDescent="0.15">
      <c r="K31" s="37"/>
      <c r="M31" s="37"/>
    </row>
    <row r="32" spans="1:25" x14ac:dyDescent="0.15">
      <c r="K32" s="37"/>
      <c r="M32" s="37"/>
    </row>
    <row r="33" spans="1:25" x14ac:dyDescent="0.15">
      <c r="K33" s="37"/>
      <c r="M33" s="37"/>
    </row>
    <row r="34" spans="1:25" x14ac:dyDescent="0.15">
      <c r="A34" s="33"/>
      <c r="B34" s="9"/>
      <c r="C34" s="11"/>
      <c r="D34" s="9"/>
      <c r="E34" s="9"/>
      <c r="G34" s="9"/>
      <c r="H34" s="38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</row>
  </sheetData>
  <autoFilter ref="A1:Y1" xr:uid="{00000000-0009-0000-0000-000000000000}">
    <sortState xmlns:xlrd2="http://schemas.microsoft.com/office/spreadsheetml/2017/richdata2" ref="A2:Y34">
      <sortCondition ref="C1"/>
    </sortState>
  </autoFilter>
  <sortState xmlns:xlrd2="http://schemas.microsoft.com/office/spreadsheetml/2017/richdata2" ref="A2:Z18">
    <sortCondition ref="A4"/>
  </sortState>
  <dataConsolidate/>
  <phoneticPr fontId="1" type="noConversion"/>
  <conditionalFormatting sqref="F1 E1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10">
    <dataValidation type="list" allowBlank="1" showInputMessage="1" sqref="N2 N4:N5 N31" xr:uid="{00000000-0002-0000-0000-000000000000}">
      <formula1>"组件,焊件,材质？方通,材质？角钢,"</formula1>
    </dataValidation>
    <dataValidation type="list" allowBlank="1" showInputMessage="1" sqref="L10:L11 L2:L6 L15" xr:uid="{00000000-0002-0000-0000-000002000000}">
      <formula1>"1㎡厚2,285X150X10,Φ50长25,Φ500厚5,Φ500XΦ400厚5,Φ51X6长25,16b-5560,50X50X5长855,长""D1@凸台-拉伸1@kk.SLDPRT"","</formula1>
    </dataValidation>
    <dataValidation type="list" allowBlank="1" showInputMessage="1" sqref="G4 G10" xr:uid="{00000000-0002-0000-0000-000003000000}">
      <formula1>"Mn13钢板,Q235-A,304,45,无缝钢管,Q235-A钢板,优力胶,20CrMnTi,8级,SKD-11,8.8级,100HV,65Mn,不锈钢,"</formula1>
    </dataValidation>
    <dataValidation type="list" allowBlank="1" showInputMessage="1" sqref="R16 R25 R2 R12" xr:uid="{34185BEE-0EFD-4B7A-ACCC-762860D42D34}">
      <formula1>"余魁,陈正波,"</formula1>
    </dataValidation>
    <dataValidation type="list" allowBlank="1" showInputMessage="1" sqref="M2:M34" xr:uid="{6DA7411A-B198-4959-9A47-082D058296D2}">
      <formula1>"组装件,机加件,焊接件,标准件,企标件,外购件,钣金件,激光下料,铝型材,"</formula1>
    </dataValidation>
    <dataValidation type="list" allowBlank="1" showInputMessage="1" sqref="Q2" xr:uid="{F92D7AFB-C790-4419-9A28-C72867C72D99}">
      <formula1>"V1.0,0,D,V2.0,"</formula1>
    </dataValidation>
    <dataValidation type="list" allowBlank="1" showInputMessage="1" sqref="S2" xr:uid="{828FE1AE-6468-4441-966E-F3B3176C83EA}">
      <formula1>"激光切割 本图,激光切割,本图,无图,外购件,见对称件图,"</formula1>
    </dataValidation>
    <dataValidation type="list" allowBlank="1" showInputMessage="1" sqref="G2" xr:uid="{183619C7-337B-4C31-96DC-B27A93860C76}">
      <formula1>"透明PC板,SKD-11,304,S45C,AL6061,Q235-A钢板,优力胶,20CrMnTi,8级,SKD-11,8.8级,100HV,65Mn,不锈钢,"</formula1>
    </dataValidation>
    <dataValidation type="list" allowBlank="1" showInputMessage="1" sqref="G3 G9 G5 G7 G11 G13:G15 G20:G21" xr:uid="{320079AB-141A-40A4-950A-BAA532542621}">
      <formula1>"透明PC板,SKD-11,304,S45C,AL6061,Q235-A钢板,优力胶,20CrMnTi,8级,SKD-11,8.8级,100HV,65Mn,不锈钢,"</formula1>
    </dataValidation>
    <dataValidation type="list" allowBlank="1" showInputMessage="1" sqref="L39" xr:uid="{A9A25C6A-F7E3-4D5D-8EE9-1F635EEF71F4}">
      <formula1>"1㎡厚2,285X150X10,Φ50长25,Φ500厚5,Φ500XΦ400厚5,Φ51X6长25,16b-5560,50X50X5长855,长""D1@凸台-拉伸1@kk.SLDPRT"","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补零">
          <controlPr defaultSize="0" altText="" r:id="rId5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4" name="CommandButton1补零"/>
      </mc:Fallback>
    </mc:AlternateContent>
    <mc:AlternateContent xmlns:mc="http://schemas.openxmlformats.org/markup-compatibility/2006">
      <mc:Choice Requires="x14">
        <control shapeId="3075" r:id="rId6" name="CommandButton1指定文件夹">
          <controlPr defaultSize="0" altText="" r:id="rId7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6" name="CommandButton1指定文件夹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25"/>
  <sheetViews>
    <sheetView zoomScale="130" zoomScaleNormal="130" workbookViewId="0">
      <selection activeCell="E13" sqref="E13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12.37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68</v>
      </c>
      <c r="F1" s="24" t="s">
        <v>18</v>
      </c>
      <c r="G1" s="24" t="s">
        <v>24</v>
      </c>
      <c r="H1" s="24" t="s">
        <v>23</v>
      </c>
      <c r="I1" s="24" t="s">
        <v>69</v>
      </c>
      <c r="J1" s="24" t="s">
        <v>119</v>
      </c>
      <c r="K1" s="25" t="s">
        <v>50</v>
      </c>
      <c r="L1" s="24" t="s">
        <v>67</v>
      </c>
      <c r="M1" s="24" t="s">
        <v>41</v>
      </c>
      <c r="N1" s="24" t="s">
        <v>71</v>
      </c>
      <c r="O1" s="24" t="s">
        <v>72</v>
      </c>
      <c r="P1" s="24" t="s">
        <v>70</v>
      </c>
      <c r="Q1" s="11" t="s">
        <v>9</v>
      </c>
      <c r="R1" s="10" t="s">
        <v>12</v>
      </c>
      <c r="S1" s="23" t="s">
        <v>36</v>
      </c>
      <c r="T1" s="16" t="s">
        <v>40</v>
      </c>
      <c r="U1" s="17" t="s">
        <v>40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141</v>
      </c>
      <c r="B2" s="20" t="s">
        <v>139</v>
      </c>
      <c r="C2" s="21" t="s">
        <v>142</v>
      </c>
      <c r="D2" s="14"/>
      <c r="E2" s="39" t="s">
        <v>140</v>
      </c>
      <c r="F2" s="28" t="s">
        <v>82</v>
      </c>
      <c r="G2" s="28" t="s">
        <v>83</v>
      </c>
      <c r="H2" s="28" t="s">
        <v>19</v>
      </c>
      <c r="I2" s="2" t="s">
        <v>38</v>
      </c>
      <c r="J2" s="28" t="s">
        <v>95</v>
      </c>
      <c r="K2" s="26" t="s">
        <v>51</v>
      </c>
      <c r="L2" s="28" t="s">
        <v>66</v>
      </c>
      <c r="M2" s="28" t="s">
        <v>77</v>
      </c>
      <c r="N2" s="28" t="s">
        <v>74</v>
      </c>
      <c r="O2" s="28" t="s">
        <v>73</v>
      </c>
      <c r="P2" s="28" t="s">
        <v>65</v>
      </c>
      <c r="Q2" s="11" t="s">
        <v>10</v>
      </c>
      <c r="R2" s="10" t="s">
        <v>13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141</v>
      </c>
      <c r="B3" s="20" t="s">
        <v>139</v>
      </c>
      <c r="C3" s="21" t="s">
        <v>122</v>
      </c>
      <c r="D3" s="2"/>
      <c r="E3" s="28" t="s">
        <v>84</v>
      </c>
      <c r="F3" s="28" t="s">
        <v>17</v>
      </c>
      <c r="G3" s="28" t="s">
        <v>85</v>
      </c>
      <c r="H3" s="28" t="s">
        <v>96</v>
      </c>
      <c r="I3" s="2" t="s">
        <v>97</v>
      </c>
      <c r="J3" s="28" t="s">
        <v>98</v>
      </c>
      <c r="K3" s="26" t="s">
        <v>52</v>
      </c>
      <c r="L3" s="28" t="s">
        <v>115</v>
      </c>
      <c r="M3" s="28">
        <v>0</v>
      </c>
      <c r="N3" s="28" t="s">
        <v>76</v>
      </c>
      <c r="O3"/>
      <c r="P3" s="28" t="s">
        <v>78</v>
      </c>
      <c r="Q3" s="11" t="s">
        <v>11</v>
      </c>
      <c r="R3" s="10" t="s">
        <v>14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141</v>
      </c>
      <c r="B4" s="20" t="s">
        <v>139</v>
      </c>
      <c r="C4" s="21">
        <v>304</v>
      </c>
      <c r="E4" s="28" t="s">
        <v>76</v>
      </c>
      <c r="F4" s="28">
        <v>45</v>
      </c>
      <c r="G4" s="28" t="s">
        <v>86</v>
      </c>
      <c r="H4" s="28" t="s">
        <v>114</v>
      </c>
      <c r="I4" s="2" t="s">
        <v>99</v>
      </c>
      <c r="J4" s="28" t="s">
        <v>100</v>
      </c>
      <c r="K4" s="26" t="s">
        <v>53</v>
      </c>
      <c r="L4" s="6"/>
      <c r="M4" s="28" t="s">
        <v>109</v>
      </c>
      <c r="O4"/>
      <c r="P4" s="28" t="s">
        <v>79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141</v>
      </c>
      <c r="B5" s="20" t="s">
        <v>139</v>
      </c>
      <c r="C5" s="21" t="s">
        <v>137</v>
      </c>
      <c r="E5" s="28"/>
      <c r="F5" s="28" t="s">
        <v>87</v>
      </c>
      <c r="G5" s="28" t="s">
        <v>88</v>
      </c>
      <c r="H5" s="28" t="s">
        <v>113</v>
      </c>
      <c r="I5" s="2" t="s">
        <v>110</v>
      </c>
      <c r="J5" s="28" t="s">
        <v>27</v>
      </c>
      <c r="K5" s="26" t="s">
        <v>44</v>
      </c>
      <c r="L5" s="6"/>
      <c r="M5" s="28" t="s">
        <v>124</v>
      </c>
      <c r="N5"/>
      <c r="O5"/>
      <c r="P5" s="28" t="s">
        <v>80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141</v>
      </c>
      <c r="B6" s="20" t="s">
        <v>139</v>
      </c>
      <c r="C6" s="21" t="s">
        <v>138</v>
      </c>
      <c r="E6" s="28"/>
      <c r="F6" s="28" t="s">
        <v>89</v>
      </c>
      <c r="G6" s="28" t="s">
        <v>90</v>
      </c>
      <c r="H6" s="28"/>
      <c r="I6" s="2" t="s">
        <v>111</v>
      </c>
      <c r="J6" s="28" t="s">
        <v>102</v>
      </c>
      <c r="K6" s="26" t="s">
        <v>54</v>
      </c>
      <c r="N6"/>
      <c r="O6"/>
      <c r="P6" s="28" t="s">
        <v>81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141</v>
      </c>
      <c r="B7" s="20" t="s">
        <v>20</v>
      </c>
      <c r="C7" s="21" t="s">
        <v>44</v>
      </c>
      <c r="E7" s="28"/>
      <c r="F7" s="28" t="s">
        <v>91</v>
      </c>
      <c r="G7" s="28" t="s">
        <v>92</v>
      </c>
      <c r="H7" s="28"/>
      <c r="I7" s="2" t="s">
        <v>101</v>
      </c>
      <c r="J7" s="28" t="s">
        <v>104</v>
      </c>
      <c r="K7" s="26" t="s">
        <v>55</v>
      </c>
      <c r="N7"/>
      <c r="O7"/>
      <c r="P7" s="28" t="s">
        <v>106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141</v>
      </c>
      <c r="B8" s="20" t="s">
        <v>20</v>
      </c>
      <c r="C8" s="21" t="s">
        <v>45</v>
      </c>
      <c r="E8" s="28"/>
      <c r="F8" s="28" t="s">
        <v>93</v>
      </c>
      <c r="G8" s="28" t="s">
        <v>94</v>
      </c>
      <c r="H8" s="28"/>
      <c r="I8" s="2" t="s">
        <v>30</v>
      </c>
      <c r="J8" s="28" t="s">
        <v>28</v>
      </c>
      <c r="K8" s="26" t="s">
        <v>56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141</v>
      </c>
      <c r="B9" s="20" t="s">
        <v>20</v>
      </c>
      <c r="C9" s="21" t="s">
        <v>46</v>
      </c>
      <c r="E9" s="28"/>
      <c r="F9" s="28" t="s">
        <v>75</v>
      </c>
      <c r="G9" s="28" t="s">
        <v>75</v>
      </c>
      <c r="H9" s="28"/>
      <c r="I9" s="2" t="s">
        <v>103</v>
      </c>
      <c r="J9" s="28" t="s">
        <v>29</v>
      </c>
      <c r="K9" s="26" t="s">
        <v>63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141</v>
      </c>
      <c r="B10" s="20" t="s">
        <v>20</v>
      </c>
      <c r="C10" s="12" t="s">
        <v>25</v>
      </c>
      <c r="E10" s="28"/>
      <c r="F10" s="28"/>
      <c r="G10" s="10"/>
      <c r="H10" s="28"/>
      <c r="I10" s="2" t="s">
        <v>108</v>
      </c>
      <c r="J10" s="28" t="s">
        <v>120</v>
      </c>
      <c r="K10" s="26" t="s">
        <v>49</v>
      </c>
      <c r="N10"/>
      <c r="O10"/>
      <c r="P10" s="9"/>
      <c r="Q10" s="11" t="s">
        <v>64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141</v>
      </c>
      <c r="B11" s="20" t="s">
        <v>20</v>
      </c>
      <c r="C11" s="12" t="s">
        <v>122</v>
      </c>
      <c r="E11" s="18"/>
      <c r="F11" s="28"/>
      <c r="G11" s="10"/>
      <c r="K11" s="26" t="s">
        <v>43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141</v>
      </c>
      <c r="B12" s="20" t="s">
        <v>20</v>
      </c>
      <c r="C12" s="12" t="s">
        <v>21</v>
      </c>
      <c r="E12" s="14"/>
      <c r="F12" s="18"/>
      <c r="K12" s="26" t="s">
        <v>57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141</v>
      </c>
      <c r="B13" s="20" t="s">
        <v>20</v>
      </c>
      <c r="C13" s="12" t="s">
        <v>16</v>
      </c>
      <c r="F13" s="14"/>
      <c r="K13" s="26" t="s">
        <v>58</v>
      </c>
      <c r="L13"/>
      <c r="N13"/>
      <c r="O13"/>
      <c r="P13" s="9"/>
      <c r="R13" s="8"/>
      <c r="S13" s="29" t="s">
        <v>107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141</v>
      </c>
      <c r="B14" s="20" t="s">
        <v>20</v>
      </c>
      <c r="C14" s="12" t="s">
        <v>26</v>
      </c>
      <c r="K14" s="26" t="s">
        <v>59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141</v>
      </c>
      <c r="B15" s="20" t="s">
        <v>20</v>
      </c>
      <c r="C15" s="21" t="s">
        <v>22</v>
      </c>
      <c r="K15" s="26" t="s">
        <v>60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61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K17" s="26" t="s">
        <v>62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2" spans="1:28" x14ac:dyDescent="0.15">
      <c r="H22" s="34"/>
      <c r="I22" s="35" t="s">
        <v>130</v>
      </c>
      <c r="J22" s="34"/>
      <c r="K22" s="34"/>
      <c r="L22" s="35" t="s">
        <v>129</v>
      </c>
    </row>
    <row r="23" spans="1:28" x14ac:dyDescent="0.15">
      <c r="H23" s="34" t="s">
        <v>128</v>
      </c>
      <c r="I23" s="36" t="s">
        <v>134</v>
      </c>
      <c r="J23" s="34" t="s">
        <v>125</v>
      </c>
      <c r="K23" s="34"/>
      <c r="L23" s="34" t="s">
        <v>135</v>
      </c>
    </row>
    <row r="24" spans="1:28" x14ac:dyDescent="0.15">
      <c r="H24" s="34"/>
      <c r="I24" s="35" t="s">
        <v>132</v>
      </c>
      <c r="J24" s="34"/>
      <c r="K24" s="35" t="s">
        <v>131</v>
      </c>
      <c r="L24" s="34"/>
    </row>
    <row r="25" spans="1:28" x14ac:dyDescent="0.15">
      <c r="H25" s="34" t="s">
        <v>125</v>
      </c>
      <c r="I25" s="36" t="s">
        <v>126</v>
      </c>
      <c r="J25" s="34" t="s">
        <v>127</v>
      </c>
      <c r="K25" s="36" t="s">
        <v>133</v>
      </c>
      <c r="L25" s="34" t="s">
        <v>136</v>
      </c>
    </row>
  </sheetData>
  <phoneticPr fontId="1" type="noConversion"/>
  <dataValidations count="10">
    <dataValidation type="list" allowBlank="1" showInputMessage="1" showErrorMessage="1" sqref="C1:D1 F12 E11" xr:uid="{00000000-0002-0000-0100-000000000000}">
      <formula1>"8级,4.8级,8.8级,100HV,45H,65Mn,轴承钢,Q235-B,Q235-A"</formula1>
    </dataValidation>
    <dataValidation type="list" operator="equal" allowBlank="1" showInputMessage="1" showErrorMessage="1" sqref="T1:U1" xr:uid="{00000000-0002-0000-0100-000001000000}">
      <formula1>"是,否"</formula1>
    </dataValidation>
    <dataValidation type="list" allowBlank="1" showInputMessage="1" showErrorMessage="1" sqref="U6:U19 Z1:Z5" xr:uid="{00000000-0002-0000-0100-000002000000}">
      <formula1>"装配件,机加件,标准件,外购件,激光下料,焊接件,型材下料,钣金"</formula1>
    </dataValidation>
    <dataValidation type="list" allowBlank="1" showInputMessage="1" showErrorMessage="1" sqref="J19" xr:uid="{00000000-0002-0000-0100-000003000000}">
      <formula1>"组装件,机加件,焊接件,标准件,外购件,钣金件,激光下料"</formula1>
    </dataValidation>
    <dataValidation type="list" allowBlank="1" showInputMessage="1" showErrorMessage="1" sqref="F13 E12 D2" xr:uid="{00000000-0002-0000-0100-000004000000}">
      <formula1>紧固件材质</formula1>
    </dataValidation>
    <dataValidation type="list" allowBlank="1" showInputMessage="1" showErrorMessage="1" sqref="B2:B15" xr:uid="{00000000-0002-0000-0100-000005000000}">
      <formula1>材质库</formula1>
    </dataValidation>
    <dataValidation type="list" allowBlank="1" showInputMessage="1" showErrorMessage="1" sqref="S1" xr:uid="{00000000-0002-0000-0100-000006000000}">
      <formula1>"表达式,结果值"</formula1>
    </dataValidation>
    <dataValidation type="list" operator="equal" allowBlank="1" showInputMessage="1" sqref="I23" xr:uid="{00000000-0002-0000-0100-000007000000}">
      <formula1>"长,X"</formula1>
    </dataValidation>
    <dataValidation operator="equal" allowBlank="1" showInputMessage="1" sqref="I25" xr:uid="{00000000-0002-0000-0100-000008000000}"/>
    <dataValidation type="list" operator="equal" allowBlank="1" showInputMessage="1" sqref="K25" xr:uid="{00000000-0002-0000-0100-000009000000}">
      <formula1>"厚,X"</formula1>
    </dataValidation>
  </dataValidations>
  <hyperlinks>
    <hyperlink ref="S13" r:id="rId1" xr:uid="{00000000-0004-0000-01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heckBox1遍历清单时判断原材料名称">
          <controlPr defaultSize="0" altText="" r:id="rId6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5" name="CheckBox1遍历清单时判断原材料名称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7</xdr:col>
                <xdr:colOff>495300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51" r:id="rId9" name="CheckBox1只填厚度">
          <controlPr defaultSize="0" altText="" r:id="rId10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9" name="CheckBox1只填厚度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44</vt:i4>
      </vt:variant>
    </vt:vector>
  </HeadingPairs>
  <TitlesOfParts>
    <vt:vector size="46" baseType="lpstr">
      <vt:lpstr>Sheet1</vt:lpstr>
      <vt:lpstr>Sheet2=设置页</vt:lpstr>
      <vt:lpstr>DESCRIPTION</vt:lpstr>
      <vt:lpstr>板材乘符号</vt:lpstr>
      <vt:lpstr>板材厚度符号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型材规格形式</vt:lpstr>
      <vt:lpstr>型材长度符号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2017-07-01T08:11:02Z</dcterms:created>
  <dcterms:modified xsi:type="dcterms:W3CDTF">2020-07-01T07:51:15Z</dcterms:modified>
</cp:coreProperties>
</file>