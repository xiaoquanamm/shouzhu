
<file path=[Content_Types].xml><?xml version="1.0" encoding="utf-8"?>
<Types xmlns="http://schemas.openxmlformats.org/package/2006/content-types">
  <Override PartName="/xl/activeX/activeX9.xml" ContentType="application/vnd.ms-office.activeX+xml"/>
  <Override PartName="/xl/activeX/activeX59.xml" ContentType="application/vnd.ms-office.activeX+xml"/>
  <Override PartName="/xl/activeX/activeX68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activeX/activeX57.xml" ContentType="application/vnd.ms-office.activeX+xml"/>
  <Override PartName="/xl/activeX/activeX66.xml" ContentType="application/vnd.ms-office.activeX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activeX/activeX55.xml" ContentType="application/vnd.ms-office.activeX+xml"/>
  <Override PartName="/xl/activeX/activeX64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44.xml" ContentType="application/vnd.ms-office.activeX+xml"/>
  <Override PartName="/xl/activeX/activeX53.xml" ContentType="application/vnd.ms-office.activeX+xml"/>
  <Override PartName="/xl/activeX/activeX62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Default Extension="bin" ContentType="application/vnd.openxmlformats-officedocument.spreadsheetml.printerSettings"/>
  <Override PartName="/xl/activeX/activeX69.xml" ContentType="application/vnd.ms-office.activeX+xml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activeX/activeX58.xml" ContentType="application/vnd.ms-office.activeX+xml"/>
  <Override PartName="/xl/activeX/activeX67.xml" ContentType="application/vnd.ms-office.activeX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Override PartName="/xl/activeX/activeX56.xml" ContentType="application/vnd.ms-office.activeX+xml"/>
  <Override PartName="/xl/activeX/activeX65.xml" ContentType="application/vnd.ms-office.activeX+xml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63.xml" ContentType="application/vnd.ms-office.activeX+xml"/>
  <Override PartName="/xl/activeX/activeX7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61.xml" ContentType="application/vnd.ms-office.activeX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3256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24519"/>
</workbook>
</file>

<file path=xl/calcChain.xml><?xml version="1.0" encoding="utf-8"?>
<calcChain xmlns="http://schemas.openxmlformats.org/spreadsheetml/2006/main">
  <c r="J8" i="1"/>
  <c r="B4" i="2"/>
  <c r="A4" s="1"/>
  <c r="B3"/>
  <c r="A2"/>
  <c r="J1"/>
  <c r="K24" i="1"/>
  <c r="K23"/>
  <c r="K22"/>
  <c r="F2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<sst xmlns="http://schemas.openxmlformats.org/spreadsheetml/2006/main" count="224" uniqueCount="191">
  <si>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</si>
  <si>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</si>
  <si>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</si>
  <si>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</si>
  <si>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</si>
  <si>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</si>
  <si>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</si>
  <si>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</si>
  <si>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</si>
  <si>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</si>
  <si>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</si>
  <si>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</si>
  <si>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</si>
  <si>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</si>
  <si>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</si>
  <si>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</si>
  <si>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</si>
  <si>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</si>
  <si>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</si>
  <si>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</si>
  <si>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</si>
  <si>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</si>
  <si>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</si>
  <si>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</si>
  <si>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</si>
  <si>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</si>
  <si>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</si>
  <si>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</si>
  <si>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</si>
  <si>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</si>
  <si>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</si>
  <si>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</si>
  <si>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</si>
  <si>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</si>
  <si>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</si>
  <si>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</si>
  <si>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</si>
  <si>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</si>
  <si>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</si>
  <si>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</si>
  <si>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</si>
  <si>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</si>
  <si>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</si>
  <si>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</si>
  <si>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</si>
  <si>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</si>
  <si>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</si>
  <si>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</si>
  <si>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</si>
  <si>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</si>
  <si>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</si>
  <si>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</si>
  <si>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</si>
  <si>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细节项目498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</si>
  <si>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</si>
  <si>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</si>
  <si>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</si>
  <si>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</si>
  <si>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</si>
  <si>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</si>
  <si>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</si>
  <si>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</si>
  <si>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</si>
  <si>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</si>
  <si>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</si>
  <si>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</si>
  <si>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</si>
  <si>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</si>
  <si>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</si>
  <si>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</si>
  <si>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</si>
  <si>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</si>
  <si>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</si>
  <si>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</si>
  <si>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</si>
  <si>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</si>
  <si>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</si>
  <si>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</si>
  <si>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</si>
  <si>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</si>
  <si>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</si>
  <si>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</si>
  <si>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</si>
  <si>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</si>
  <si>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</si>
  <si>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</si>
  <si>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</si>
  <si>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</si>
  <si>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</si>
  <si>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</si>
  <si>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</si>
  <si>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</si>
  <si>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</si>
  <si>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</si>
  <si>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</si>
  <si>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</si>
  <si>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</si>
  <si>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</si>
  <si>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</si>
  <si>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</si>
  <si>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</si>
  <si>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</si>
  <si>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</si>
  <si>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</si>
  <si>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</si>
  <si>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</si>
  <si>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</si>
  <si>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</si>
  <si>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</si>
  <si>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</si>
  <si>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</si>
  <si>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</si>
  <si>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</si>
  <si>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</si>
  <si>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</si>
  <si>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</si>
  <si>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</si>
  <si>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</si>
  <si>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</si>
  <si>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</si>
  <si>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</si>
  <si>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</si>
  <si>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</si>
  <si>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</si>
  <si>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</si>
  <si>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</si>
  <si>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</si>
  <si>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</si>
  <si>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</si>
  <si>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</si>
  <si>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</si>
  <si>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</si>
  <si>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</si>
  <si>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</si>
  <si>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</si>
  <si>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</si>
  <si>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</si>
  <si>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</si>
  <si>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</si>
  <si>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</si>
  <si>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</si>
  <si>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</si>
  <si>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</si>
  <si>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</si>
  <si>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</si>
  <si>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</si>
  <si>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</si>
  <si>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</si>
  <si>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</si>
  <si>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</si>
  <si>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</si>
  <si>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</si>
  <si>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</si>
  <si>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</si>
  <si>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</si>
  <si>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</si>
  <si>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</si>
  <si>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</si>
  <si>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</si>
  <si>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</si>
  <si>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</si>
  <si>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</si>
  <si>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\\192.168.1.198\文控中心\工程图纸\技德机械项目\Z19021-M0A-D01中鼎40CH拘束托盘-机械BOM表\3D\中鼎40通道托盘\订单图纸\方案\拘束托盘\B.C款\打包文件\</t>
    <phoneticPr fontId="20" type="noConversion"/>
  </si>
  <si>
    <t>Z19021-M0A-D01-00</t>
    <phoneticPr fontId="20" type="noConversion"/>
  </si>
  <si>
    <t>D:\00gyk\00sw公用\swvba\系列零件设计表模板.xlsm</t>
    <phoneticPr fontId="20" type="noConversion"/>
  </si>
  <si>
    <t>1</t>
    <phoneticPr fontId="20" type="noConversion"/>
  </si>
  <si>
    <t>零件</t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</si>
  <si>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</si>
  <si>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</si>
  <si>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</si>
  <si>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</si>
  <si>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</si>
  <si>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</si>
  <si>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</si>
  <si>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</si>
  <si>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</si>
  <si>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</si>
  <si>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</si>
  <si>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</si>
  <si>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</si>
  <si>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软管</t>
    <phoneticPr fontId="20" type="noConversion"/>
  </si>
  <si>
    <t>Pipe_1-CJG-1 软管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</si>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</sst>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&quot;共&quot;@&quot;张&quot;"/>
    <numFmt numFmtId="177" formatCode="&quot;第&quot;@&quot;张&quot;"/>
  </numFmts>
  <fonts count="24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49" fontId="0" fillId="0" borderId="0" xfId="0" applyNumberFormat="1" applyAlignment="1">
      <alignment horizontal="center" vertical="center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填往属性exl"/>
  <ax:ocxPr ax:name="Size" ax:value="2667;677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445"/>
  <ax:ocxPr ax:name="Value" ax:value="0"/>
  <ax:ocxPr ax:name="Caption" ax:value="加点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445"/>
  <ax:ocxPr ax:name="Value" ax:value="1"/>
  <ax:ocxPr ax:name="Caption" ax:value="从动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按点阵列草图建阵列（选中总长尺寸）"/>
  <ax:ocxPr ax:name="Size" ax:value="3979;135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032;572"/>
  <ax:ocxPr ax:name="Value" ax:value="1"/>
  <ax:ocxPr ax:name="Caption" ax:value="重合原点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中心线矩形"/>
  <ax:ocxPr ax:name="Size" ax:value="2413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等距曲面"/>
  <ax:ocxPr ax:name="Size" ax:value="2011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更新外部参考"/>
  <ax:ocxPr ax:name="Size" ax:value="2805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坐标系(仅选择零件)"/>
  <ax:ocxPr ax:name="Size" ax:value="4763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选定/当前对象"/>
  <ax:ocxPr ax:name="Size" ax:value="3149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生成工程图"/>
  <ax:ocxPr ax:name="Size" ax:value="238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坐标系配合(仅选择零件)"/>
  <ax:ocxPr ax:name="Size" ax:value="4868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重生成指定配置"/>
  <ax:ocxPr ax:name="Size" ax:value="317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特征加后缀"/>
  <ax:ocxPr ax:name="Size" ax:value="246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处理主体配置"/>
  <ax:ocxPr ax:name="Size" ax:value="283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更新坐标系(替换零部件后用)"/>
  <ax:ocxPr ax:name="Size" ax:value="5652;69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坐标系改名(零部件改名后用)"/>
  <ax:ocxPr ax:name="Size" ax:value="5662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切割清单属性to配置特定"/>
  <ax:ocxPr ax:name="Size" ax:value="1746;190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粘贴技术要求"/>
  <ax:ocxPr ax:name="Size" ax:value="2942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修改张数"/>
  <ax:ocxPr ax:name="Size" ax:value="2223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派生草图到其他零件"/>
  <ax:ocxPr ax:name="Size" ax:value="3995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0;572"/>
  <ax:ocxPr ax:name="Value" ax:value="0"/>
  <ax:ocxPr ax:name="Caption" ax:value="全选实体面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更新等距"/>
  <ax:ocxPr ax:name="Size" ax:value="2032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外部参考装配体"/>
  <ax:ocxPr ax:name="Size" ax:value="2455;110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所选外插(最末一个为容器)"/>
  <ax:ocxPr ax:name="Size" ax:value="3175;120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958;529"/>
  <ax:ocxPr ax:name="Value" ax:value="0"/>
  <ax:ocxPr ax:name="Caption" ax:value="清单排除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984;661"/>
  <ax:ocxPr ax:name="Value" ax:value="0"/>
  <ax:ocxPr ax:name="Caption" ax:value="钣金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46;609"/>
  <ax:ocxPr ax:name="Value" ax:value="0"/>
  <ax:ocxPr ax:name="Caption" ax:value="机加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36;635"/>
  <ax:ocxPr ax:name="Value" ax:value="1"/>
  <ax:ocxPr ax:name="Caption" ax:value="焊件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转换实体"/>
  <ax:ocxPr ax:name="Size" ax:value="201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439;550"/>
  <ax:ocxPr ax:name="Value" ax:value="0"/>
  <ax:ocxPr ax:name="Caption" ax:value="虚拟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处理孔标注"/>
  <ax:ocxPr ax:name="Size" ax:value="2942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新零件"/>
  <ax:ocxPr ax:name="Size" ax:value="2371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新装配体"/>
  <ax:ocxPr ax:name="Size" ax:value="2752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外部参考零件"/>
  <ax:ocxPr ax:name="Size" ax:value="2201;110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阵列标注"/>
  <ax:ocxPr ax:name="Size" ax:value="2942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打开加配置名工程图"/>
  <ax:ocxPr ax:name="Size" ax:value="412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582"/>
  <ax:ocxPr ax:name="Value" ax:value="0"/>
  <ax:ocxPr ax:name="Caption" ax:value="实体所有边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349;556"/>
  <ax:ocxPr ax:name="Value" ax:value="0"/>
  <ax:ocxPr ax:name="Caption" ax:value="坐标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773;582"/>
  <ax:ocxPr ax:name="Value" ax:value="0"/>
  <ax:ocxPr ax:name="Caption" ax:value="2d草图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锁定"/>
  <ax:ocxPr ax:name="Size" ax:value="1349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解锁"/>
  <ax:ocxPr ax:name="Size" ax:value="11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切换主从尺寸"/>
  <ax:ocxPr ax:name="Size" ax:value="926;291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四点孔"/>
  <ax:ocxPr ax:name="Size" ax:value="1609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两点孔"/>
  <ax:ocxPr ax:name="Size" ax:value="1588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582"/>
  <ax:ocxPr ax:name="Value" ax:value="1"/>
  <ax:ocxPr ax:name="Caption" ax:value="改绘图标准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模型设置标准化"/>
  <ax:ocxPr ax:name="Size" ax:value="2074;118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49;1588"/>
  <ax:ocxPr ax:name="Value" ax:value="1"/>
  <ax:ocxPr ax:name="Caption" ax:value="加方程式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82;656"/>
  <ax:ocxPr ax:name="Value" ax:value="1"/>
  <ax:ocxPr ax:name="Caption" ax:value="单排"/>
  <ax:ocxPr ax:name="GroupName" ax:value="单双排"/>
  <ax:ocxPr ax:name="FontName" ax:value="宋体"/>
  <ax:ocxPr ax:name="FontHeight" ax:value="225"/>
  <ax:ocxPr ax:name="FontCharSet" ax:value="134"/>
  <ax:ocxPr ax:name="FontPitchAndFamily" ax:value="34"/>
</ax:ocx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588;614"/>
  <ax:ocxPr ax:name="Value" ax:value="0"/>
  <ax:ocxPr ax:name="Caption" ax:value="双排"/>
  <ax:ocxPr ax:name="GroupName" ax:value="单双排"/>
  <ax:ocxPr ax:name="FontName" ax:value="宋体"/>
  <ax:ocxPr ax:name="FontHeight" ax:value="225"/>
  <ax:ocxPr ax:name="FontCharSet" ax:value="134"/>
  <ax:ocxPr ax:name="FontPitchAndFamily" ax:value="34"/>
</ax:ocx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点阵列草图"/>
  <ax:ocxPr ax:name="Size" ax:value="2413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孔"/>
  <ax:ocxPr ax:name="Size" ax:value="1037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直线"/>
  <ax:ocxPr ax:name="Size" ax:value="1778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0"/>
  <ax:ocxPr ax:name="Caption" ax:value="求间距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1"/>
  <ax:ocxPr ax:name="Caption" ax:value="求总长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0"/>
  <ax:ocxPr ax:name="Caption" ax:value="求数量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加台阶"/>
  <ax:ocxPr ax:name="Size" ax:value="926;187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矩形板"/>
  <ax:ocxPr ax:name="Size" ax:value="931;163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397;656"/>
  <ax:ocxPr ax:name="Value" ax:value="1"/>
  <ax:ocxPr ax:name="Caption" ax:value="通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0"/>
  <ax:ocxPr ax:name="Caption" ax:value="螺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平键轴槽"/>
  <ax:ocxPr ax:name="Size" ax:value="1958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内外卡槽"/>
  <ax:ocxPr ax:name="Size" ax:value="2011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2328;762"/>
  <ax:ocxPr ax:name="Value" ax:value="1"/>
  <ax:ocxPr ax:name="Caption" ax:value="拖动定大小"/>
  <ax:ocxPr ax:name="GroupName" ax:value="定形定位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2032;614"/>
  <ax:ocxPr ax:name="Value" ax:value="0"/>
  <ax:ocxPr ax:name="Caption" ax:value="预定大小"/>
  <ax:ocxPr ax:name="GroupName" ax:value="定形定位"/>
  <ax:ocxPr ax:name="FontName" ax:value="宋体"/>
  <ax:ocxPr ax:name="FontHeight" ax:value="195"/>
  <ax:ocxPr ax:name="FontCharSet" ax:value="134"/>
  <ax:ocxPr ax:name="FontPitchAndFamily" ax:value="34"/>
</ax:ocx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1984;635"/>
  <ax:ocxPr ax:name="Value" ax:value="0"/>
  <ax:ocxPr ax:name="Caption" ax:value="找边定距"/>
  <ax:ocxPr ax:name="GroupName" ax:value="定形定位"/>
  <ax:ocxPr ax:name="FontName" ax:value="宋体"/>
  <ax:ocxPr ax:name="FontHeight" ax:value="195"/>
  <ax:ocxPr ax:name="FontCharSet" ax:value="134"/>
  <ax:ocxPr ax:name="FontPitchAndFamily" ax:value="34"/>
</ax:ocx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复制插入零件切割清单属性(如镜像焊接件)"/>
  <ax:ocxPr ax:name="Size" ax:value="1931;246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实体转零件(更新属性)"/>
  <ax:ocxPr ax:name="Size" ax:value="2487;116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N9(轴键槽)"/>
  <ax:ocxPr ax:name="Size" ax:value="280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0"/>
  <ax:ocxPr ax:name="Caption" ax:value="腰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列出文件夹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672;529"/>
  <ax:ocxPr ax:name="Value" ax:value="1"/>
  <ax:ocxPr ax:name="Caption" ax:value="搜索子文件夹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添加到sw搜索路径"/>
  <ax:ocxPr ax:name="Size" ax:value="2434;113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3" Type="http://schemas.openxmlformats.org/officeDocument/2006/relationships/image" Target="../media/image53.emf"/><Relationship Id="rId58" Type="http://schemas.openxmlformats.org/officeDocument/2006/relationships/image" Target="../media/image58.emf"/><Relationship Id="rId66" Type="http://schemas.openxmlformats.org/officeDocument/2006/relationships/image" Target="../media/image66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57" Type="http://schemas.openxmlformats.org/officeDocument/2006/relationships/image" Target="../media/image57.emf"/><Relationship Id="rId61" Type="http://schemas.openxmlformats.org/officeDocument/2006/relationships/image" Target="../media/image61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56" Type="http://schemas.openxmlformats.org/officeDocument/2006/relationships/image" Target="../media/image56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8" Type="http://schemas.openxmlformats.org/officeDocument/2006/relationships/image" Target="../media/image8.emf"/><Relationship Id="rId51" Type="http://schemas.openxmlformats.org/officeDocument/2006/relationships/image" Target="../media/image51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20" Type="http://schemas.openxmlformats.org/officeDocument/2006/relationships/image" Target="../media/image20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62" Type="http://schemas.openxmlformats.org/officeDocument/2006/relationships/image" Target="../media/image6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55" Type="http://schemas.openxmlformats.org/officeDocument/2006/relationships/control" Target="../activeX/activeX53.xml"/><Relationship Id="rId63" Type="http://schemas.openxmlformats.org/officeDocument/2006/relationships/control" Target="../activeX/activeX61.xml"/><Relationship Id="rId68" Type="http://schemas.openxmlformats.org/officeDocument/2006/relationships/control" Target="../activeX/activeX66.xml"/><Relationship Id="rId7" Type="http://schemas.openxmlformats.org/officeDocument/2006/relationships/control" Target="../activeX/activeX5.xml"/><Relationship Id="rId71" Type="http://schemas.openxmlformats.org/officeDocument/2006/relationships/control" Target="../activeX/activeX69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9" Type="http://schemas.openxmlformats.org/officeDocument/2006/relationships/control" Target="../activeX/activeX2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3" Type="http://schemas.openxmlformats.org/officeDocument/2006/relationships/control" Target="../activeX/activeX51.xml"/><Relationship Id="rId58" Type="http://schemas.openxmlformats.org/officeDocument/2006/relationships/control" Target="../activeX/activeX56.xml"/><Relationship Id="rId66" Type="http://schemas.openxmlformats.org/officeDocument/2006/relationships/control" Target="../activeX/activeX64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57" Type="http://schemas.openxmlformats.org/officeDocument/2006/relationships/control" Target="../activeX/activeX55.xml"/><Relationship Id="rId61" Type="http://schemas.openxmlformats.org/officeDocument/2006/relationships/control" Target="../activeX/activeX59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52" Type="http://schemas.openxmlformats.org/officeDocument/2006/relationships/control" Target="../activeX/activeX50.xml"/><Relationship Id="rId60" Type="http://schemas.openxmlformats.org/officeDocument/2006/relationships/control" Target="../activeX/activeX58.xml"/><Relationship Id="rId65" Type="http://schemas.openxmlformats.org/officeDocument/2006/relationships/control" Target="../activeX/activeX63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4.xml"/><Relationship Id="rId64" Type="http://schemas.openxmlformats.org/officeDocument/2006/relationships/control" Target="../activeX/activeX62.xml"/><Relationship Id="rId69" Type="http://schemas.openxmlformats.org/officeDocument/2006/relationships/control" Target="../activeX/activeX67.xml"/><Relationship Id="rId8" Type="http://schemas.openxmlformats.org/officeDocument/2006/relationships/control" Target="../activeX/activeX6.xml"/><Relationship Id="rId51" Type="http://schemas.openxmlformats.org/officeDocument/2006/relationships/control" Target="../activeX/activeX49.xml"/><Relationship Id="rId72" Type="http://schemas.openxmlformats.org/officeDocument/2006/relationships/comments" Target="../comments1.xml"/><Relationship Id="rId3" Type="http://schemas.openxmlformats.org/officeDocument/2006/relationships/control" Target="../activeX/activeX1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59" Type="http://schemas.openxmlformats.org/officeDocument/2006/relationships/control" Target="../activeX/activeX57.xml"/><Relationship Id="rId67" Type="http://schemas.openxmlformats.org/officeDocument/2006/relationships/control" Target="../activeX/activeX65.xml"/><Relationship Id="rId20" Type="http://schemas.openxmlformats.org/officeDocument/2006/relationships/control" Target="../activeX/activeX18.xml"/><Relationship Id="rId41" Type="http://schemas.openxmlformats.org/officeDocument/2006/relationships/control" Target="../activeX/activeX39.xml"/><Relationship Id="rId54" Type="http://schemas.openxmlformats.org/officeDocument/2006/relationships/control" Target="../activeX/activeX52.xml"/><Relationship Id="rId62" Type="http://schemas.openxmlformats.org/officeDocument/2006/relationships/control" Target="../activeX/activeX60.xml"/><Relationship Id="rId70" Type="http://schemas.openxmlformats.org/officeDocument/2006/relationships/control" Target="../activeX/activeX6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1.xml"/><Relationship Id="rId2" Type="http://schemas.openxmlformats.org/officeDocument/2006/relationships/control" Target="../activeX/activeX70.xml"/><Relationship Id="rId1" Type="http://schemas.openxmlformats.org/officeDocument/2006/relationships/vmlDrawing" Target="../drawings/vmlDrawing2.vml"/><Relationship Id="rId4" Type="http://schemas.openxmlformats.org/officeDocument/2006/relationships/control" Target="../activeX/activeX7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34"/>
  <sheetViews>
    <sheetView tabSelected="1" zoomScale="130" zoomScaleNormal="130" workbookViewId="0">
      <selection activeCell="K6" sqref="K6"/>
    </sheetView>
  </sheetViews>
  <sheetFormatPr defaultColWidth="9" defaultRowHeight="14.4"/>
  <cols>
    <col min="1" max="1" width="11" customWidth="1"/>
    <col min="2" max="2" width="9" customWidth="1"/>
  </cols>
  <sheetData>
    <row r="1" spans="1:14" s="17" customFormat="1" ht="24" customHeight="1">
      <c r="A1" s="21"/>
      <c r="B1" s="54" t="s">
        <v>0</v>
      </c>
      <c r="C1" s="55" t="s">
        <v>1</v>
      </c>
      <c r="D1" s="8"/>
    </row>
    <row r="2" spans="1:14" ht="27" customHeight="1">
      <c r="A2" s="23"/>
      <c r="B2" s="24">
        <v>99</v>
      </c>
      <c r="C2" s="25">
        <v>122</v>
      </c>
      <c r="D2" s="3"/>
    </row>
    <row r="3" spans="1:14">
      <c r="A3" s="21"/>
      <c r="B3" s="22" t="s">
        <v>2</v>
      </c>
      <c r="C3" s="22" t="s">
        <v>3</v>
      </c>
      <c r="D3" s="26"/>
      <c r="E3" s="27"/>
    </row>
    <row r="4" spans="1:14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>
      <c r="A6" s="30" t="s">
        <v>4</v>
      </c>
      <c r="C6" s="31" t="s">
        <v>5</v>
      </c>
      <c r="D6" s="60" t="s">
        <v>6</v>
      </c>
      <c r="M6" s="31" t="s">
        <v>11</v>
      </c>
      <c r="N6" s="45" t="s">
        <v>12</v>
      </c>
    </row>
    <row r="7" spans="1:14" ht="30" customHeight="1">
      <c r="A7" s="33" t="s">
        <v>13</v>
      </c>
      <c r="C7" s="34" t="s">
        <v>14</v>
      </c>
      <c r="D7" s="61"/>
      <c r="M7" s="12" t="s">
        <v>164</v>
      </c>
      <c r="N7" s="46" t="s">
        <v>19</v>
      </c>
    </row>
    <row r="8" spans="1:14">
      <c r="B8" s="3"/>
      <c r="C8" s="3"/>
      <c r="J8">
        <f>3325/3</f>
        <v>1108.3333333333333</v>
      </c>
    </row>
    <row r="9" spans="1:14" ht="15" thickBot="1">
      <c r="B9" s="3"/>
      <c r="C9" s="3"/>
      <c r="N9" s="14"/>
    </row>
    <row r="10" spans="1:14" s="19" customFormat="1" ht="18.75" customHeight="1" thickTop="1">
      <c r="A10" s="36" t="s">
        <v>27</v>
      </c>
      <c r="B10" s="36" t="s">
        <v>28</v>
      </c>
      <c r="C10" s="62" t="s">
        <v>29</v>
      </c>
      <c r="D10" s="62"/>
      <c r="J10" s="35" t="s">
        <v>30</v>
      </c>
      <c r="K10" s="35" t="s">
        <v>31</v>
      </c>
      <c r="L10" s="35" t="s">
        <v>32</v>
      </c>
      <c r="M10" s="35" t="s">
        <v>33</v>
      </c>
      <c r="N10" s="47" t="s">
        <v>34</v>
      </c>
    </row>
    <row r="11" spans="1:14">
      <c r="A11" s="5" t="s">
        <v>166</v>
      </c>
      <c r="B11" s="53" t="s">
        <v>180</v>
      </c>
      <c r="C11" s="59" t="s">
        <v>181</v>
      </c>
      <c r="D11" s="59"/>
      <c r="J11" s="15" t="s">
        <v>167</v>
      </c>
      <c r="K11" s="15" t="s">
        <v>168</v>
      </c>
      <c r="L11" s="15" t="s">
        <v>169</v>
      </c>
      <c r="M11" s="48" t="s">
        <v>170</v>
      </c>
      <c r="N11" s="48"/>
    </row>
    <row r="12" spans="1:14">
      <c r="A12" t="s">
        <v>35</v>
      </c>
      <c r="B12" s="37" t="s">
        <v>165</v>
      </c>
      <c r="J12" s="52">
        <v>12779</v>
      </c>
      <c r="K12" s="51">
        <v>1419.8888888888889</v>
      </c>
      <c r="L12" s="51">
        <v>1419.8888888888889</v>
      </c>
      <c r="M12" s="52">
        <v>8</v>
      </c>
    </row>
    <row r="13" spans="1:14" s="19" customFormat="1" ht="18.75" customHeight="1">
      <c r="A13" s="36"/>
    </row>
    <row r="18" spans="1:19" ht="27.75" customHeight="1">
      <c r="A18" s="38" t="s">
        <v>36</v>
      </c>
    </row>
    <row r="21" spans="1:19" s="19" customFormat="1">
      <c r="A21" s="63" t="s">
        <v>37</v>
      </c>
      <c r="B21" s="63"/>
      <c r="C21" s="63"/>
      <c r="D21" s="63" t="s">
        <v>38</v>
      </c>
      <c r="E21" s="63"/>
      <c r="F21" s="39" t="str">
        <f>HYPERLINK(G21,"→")</f>
        <v>→</v>
      </c>
      <c r="G21" s="40" t="s">
        <v>39</v>
      </c>
      <c r="K21" s="49" t="s">
        <v>40</v>
      </c>
    </row>
    <row r="22" spans="1:19">
      <c r="A22" s="59" t="s">
        <v>162</v>
      </c>
      <c r="B22" s="59"/>
      <c r="C22" s="59"/>
      <c r="D22" s="59" t="s">
        <v>163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>
      <c r="A25" s="14"/>
      <c r="G25" s="14"/>
    </row>
    <row r="26" spans="1:19">
      <c r="A26" s="14"/>
      <c r="E26" s="5" t="s">
        <v>44</v>
      </c>
      <c r="F26" s="41"/>
      <c r="G26" s="42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50" t="s">
        <v>50</v>
      </c>
      <c r="S26" s="5" t="s">
        <v>51</v>
      </c>
    </row>
    <row r="27" spans="1:19">
      <c r="A27" s="41" t="s">
        <v>52</v>
      </c>
      <c r="B27" s="42" t="s">
        <v>52</v>
      </c>
      <c r="F27" s="41"/>
      <c r="G27" s="42"/>
      <c r="I27" s="15" t="s">
        <v>53</v>
      </c>
      <c r="J27" s="15" t="s">
        <v>54</v>
      </c>
      <c r="K27" s="15" t="s">
        <v>55</v>
      </c>
      <c r="L27" s="15" t="s">
        <v>56</v>
      </c>
      <c r="M27" s="15" t="s">
        <v>57</v>
      </c>
    </row>
    <row r="28" spans="1:19" s="19" customFormat="1" ht="15.6" thickTop="1" thickBot="1">
      <c r="B28" s="43"/>
      <c r="C28" s="43"/>
      <c r="D28" s="43"/>
      <c r="E28" s="43"/>
      <c r="F28" s="43"/>
    </row>
    <row r="29" spans="1:19" s="6" customFormat="1" ht="15" thickTop="1">
      <c r="A29" s="32" t="s">
        <v>7</v>
      </c>
      <c r="B29" s="32" t="s">
        <v>8</v>
      </c>
      <c r="C29" s="32" t="s">
        <v>9</v>
      </c>
      <c r="D29" s="44" t="s">
        <v>182</v>
      </c>
      <c r="E29" s="44" t="s">
        <v>10</v>
      </c>
    </row>
    <row r="30" spans="1:19">
      <c r="A30" s="15" t="s">
        <v>189</v>
      </c>
      <c r="B30" s="15" t="s">
        <v>183</v>
      </c>
      <c r="C30" s="15" t="s">
        <v>184</v>
      </c>
      <c r="D30" s="16" t="s">
        <v>18</v>
      </c>
    </row>
    <row r="31" spans="1:19">
      <c r="A31" s="35" t="s">
        <v>20</v>
      </c>
      <c r="B31" s="35" t="s">
        <v>21</v>
      </c>
      <c r="C31" s="35" t="s">
        <v>22</v>
      </c>
      <c r="D31" s="47" t="s">
        <v>23</v>
      </c>
      <c r="F31" s="35" t="s">
        <v>187</v>
      </c>
      <c r="G31" s="35" t="s">
        <v>186</v>
      </c>
      <c r="H31" s="35" t="s">
        <v>173</v>
      </c>
    </row>
    <row r="32" spans="1:19" s="20" customFormat="1" ht="15.6">
      <c r="A32" s="15" t="s">
        <v>178</v>
      </c>
      <c r="B32" s="15" t="s">
        <v>176</v>
      </c>
      <c r="C32" s="15" t="s">
        <v>177</v>
      </c>
      <c r="D32" s="16" t="s">
        <v>18</v>
      </c>
      <c r="E32"/>
      <c r="F32" s="15" t="s">
        <v>188</v>
      </c>
      <c r="G32" s="15" t="s">
        <v>190</v>
      </c>
      <c r="H32" s="57" t="s">
        <v>179</v>
      </c>
      <c r="M32"/>
    </row>
    <row r="33" spans="1:13" s="56" customFormat="1">
      <c r="A33" s="35" t="s">
        <v>171</v>
      </c>
      <c r="B33" s="35" t="s">
        <v>172</v>
      </c>
      <c r="D33" s="47"/>
      <c r="G33" s="58" t="s">
        <v>185</v>
      </c>
    </row>
    <row r="34" spans="1:13" s="20" customFormat="1" ht="15.6">
      <c r="A34" s="15" t="s">
        <v>175</v>
      </c>
      <c r="B34" s="15" t="s">
        <v>174</v>
      </c>
      <c r="D34" s="16"/>
      <c r="E34" s="56"/>
      <c r="M34" s="56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legacyDrawing r:id="rId2"/>
  <controls>
    <control shapeId="1328" r:id="rId3" name="CommandButton1规格填往属性excel"/>
    <control shapeId="1326" r:id="rId4" name="CheckBox1加点"/>
    <control shapeId="1325" r:id="rId5" name="CheckBox1从动"/>
    <control shapeId="1324" r:id="rId6" name="CommandButton1按草图建阵列"/>
    <control shapeId="1322" r:id="rId7" name="CheckBox重合原点2"/>
    <control shapeId="1025" r:id="rId8" name="CommandButton中心线矩形"/>
    <control shapeId="1027" r:id="rId9" name="CommandButton等距曲面"/>
    <control shapeId="1030" r:id="rId10" name="CommandButton更新外部参考"/>
    <control shapeId="1032" r:id="rId11" name="CommandButton插入坐标系_仅选择"/>
    <control shapeId="1040" r:id="rId12" name="CommandButton当前sw名称"/>
    <control shapeId="1053" r:id="rId13" name="CommandButton1生成工程图"/>
    <control shapeId="1057" r:id="rId14" name="CommandButton坐标系配合"/>
    <control shapeId="1058" r:id="rId15" name="CommandButton重生成指定配置"/>
    <control shapeId="1066" r:id="rId16" name="CommandButton特征加后缀"/>
    <control shapeId="1068" r:id="rId17" name="CommandButton处理主体配置"/>
    <control shapeId="1075" r:id="rId18" name="CommandButton更新坐标系_替换后用"/>
    <control shapeId="1076" r:id="rId19" name="CommandButton1坐标系改名"/>
    <control shapeId="1077" r:id="rId20" name="CommandButton切割清单属性to配置特定"/>
    <control shapeId="1080" r:id="rId21" name="CommandButton粘贴技术要求"/>
    <control shapeId="1081" r:id="rId22" name="CommandButton修改张数"/>
    <control shapeId="1085" r:id="rId23" name="CommandButton派生草图到其他零件"/>
    <control shapeId="1086" r:id="rId24" name="CheckBox全选实体面"/>
    <control shapeId="1088" r:id="rId25" name="CommandButton更新等距"/>
    <control shapeId="1090" r:id="rId26" name="CommandButton插入外部参考装配体"/>
    <control shapeId="1091" r:id="rId27" name="CommandButton选择零件重装配"/>
    <control shapeId="1093" r:id="rId28" name="CheckBox清单排除"/>
    <control shapeId="1099" r:id="rId29" name="OptionButton钣金"/>
    <control shapeId="1100" r:id="rId30" name="OptionButton机加"/>
    <control shapeId="1101" r:id="rId31" name="OptionButton焊件"/>
    <control shapeId="1103" r:id="rId32" name="CommandButton转换实体"/>
    <control shapeId="1106" r:id="rId33" name="CheckBox虚拟"/>
    <control shapeId="1110" r:id="rId34" name="CommandButton处理孔标注"/>
    <control shapeId="1113" r:id="rId35" name="CommandButton插入新零件"/>
    <control shapeId="1119" r:id="rId36" name="CommandButton插入新装配体"/>
    <control shapeId="1129" r:id="rId37" name="CommandButton插入外部参考零件"/>
    <control shapeId="1133" r:id="rId38" name="CommandButton阵列标注"/>
    <control shapeId="1137" r:id="rId39" name="CommandButton打开加配置名工程图"/>
    <control shapeId="1138" r:id="rId40" name="CheckBox实体所有边"/>
    <control shapeId="1140" r:id="rId41" name="CheckBox坐标"/>
    <control shapeId="1142" r:id="rId42" name="CheckBox2d草图"/>
    <control shapeId="1144" r:id="rId43" name="CommandButton锁定外部参考"/>
    <control shapeId="1145" r:id="rId44" name="CommandButton解锁外部参考"/>
    <control shapeId="1153" r:id="rId45" name="CommandButton2切换主从尺寸"/>
    <control shapeId="1158" r:id="rId46" name="CommandButton2矩形四点孔"/>
    <control shapeId="1178" r:id="rId47" name="CommandButton2两点孔"/>
    <control shapeId="1180" r:id="rId48" name="CheckBox1改绘图标准"/>
    <control shapeId="1182" r:id="rId49" name="CommandButton模型设置标准化"/>
    <control shapeId="1235" r:id="rId50" name="CheckBox1加方程式"/>
    <control shapeId="1236" r:id="rId51" name="OptionButton单排"/>
    <control shapeId="1237" r:id="rId52" name="OptionButton2双排"/>
    <control shapeId="1240" r:id="rId53" name="CommandButton点阵列草图"/>
    <control shapeId="1241" r:id="rId54" name="CommandButton2点阵列草图孔"/>
    <control shapeId="1256" r:id="rId55" name="CommandButton直线"/>
    <control shapeId="1276" r:id="rId56" name="OptionButton求间距"/>
    <control shapeId="1278" r:id="rId57" name="OptionButton求总长"/>
    <control shapeId="1279" r:id="rId58" name="OptionButton求数量"/>
    <control shapeId="1280" r:id="rId59" name="CommandButton加台阶"/>
    <control shapeId="1281" r:id="rId60" name="CommandButton矩形板"/>
    <control shapeId="1293" r:id="rId61" name="OptionButton通孔"/>
    <control shapeId="1294" r:id="rId62" name="OptionButton螺孔"/>
    <control shapeId="1295" r:id="rId63" name="CommandButton平键轴槽"/>
    <control shapeId="1296" r:id="rId64" name="CommandButton内外卡槽"/>
    <control shapeId="1301" r:id="rId65" name="OptionButton拖动定大小"/>
    <control shapeId="1302" r:id="rId66" name="OptionButton预定大小"/>
    <control shapeId="1303" r:id="rId67" name="OptionButton找边定距"/>
    <control shapeId="1306" r:id="rId68" name="CommandButton复制插入零件切割清单属性"/>
    <control shapeId="1313" r:id="rId69" name="CommandButton实体转零件"/>
    <control shapeId="1316" r:id="rId70" name="CommandButtonN9"/>
    <control shapeId="1318" r:id="rId71" name="OptionButton腰孔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89"/>
  <sheetViews>
    <sheetView zoomScale="145" zoomScaleNormal="145" workbookViewId="0">
      <selection activeCell="C11" sqref="C11"/>
    </sheetView>
  </sheetViews>
  <sheetFormatPr defaultColWidth="9" defaultRowHeight="14.4"/>
  <cols>
    <col min="1" max="1" width="8.88671875" customWidth="1"/>
    <col min="2" max="2" width="19.77734375" customWidth="1"/>
    <col min="3" max="3" width="13.77734375" customWidth="1"/>
    <col min="5" max="5" width="15.109375" customWidth="1"/>
    <col min="6" max="6" width="19.109375" style="5" customWidth="1"/>
    <col min="7" max="7" width="12.21875" customWidth="1"/>
  </cols>
  <sheetData>
    <row r="1" spans="1:15">
      <c r="A1" s="6"/>
      <c r="B1" s="7" t="s">
        <v>58</v>
      </c>
      <c r="C1" s="8" t="s">
        <v>59</v>
      </c>
      <c r="D1" s="8" t="s">
        <v>60</v>
      </c>
      <c r="E1" s="8" t="s">
        <v>61</v>
      </c>
      <c r="F1" s="8" t="s">
        <v>62</v>
      </c>
      <c r="I1" s="8" t="s">
        <v>63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64</v>
      </c>
    </row>
    <row r="2" spans="1:15">
      <c r="A2" s="9" t="str">
        <f>HYPERLINK(B2,"→")</f>
        <v>→</v>
      </c>
      <c r="B2" s="10" t="s">
        <v>65</v>
      </c>
      <c r="C2" s="11" t="s">
        <v>66</v>
      </c>
      <c r="D2" s="11" t="s">
        <v>67</v>
      </c>
      <c r="E2" s="11" t="s">
        <v>68</v>
      </c>
      <c r="F2" s="5" t="s">
        <v>69</v>
      </c>
      <c r="I2" t="s">
        <v>70</v>
      </c>
      <c r="L2" s="15" t="s">
        <v>15</v>
      </c>
      <c r="M2" s="15" t="s">
        <v>16</v>
      </c>
      <c r="N2" s="15" t="s">
        <v>17</v>
      </c>
      <c r="O2" s="16" t="s">
        <v>71</v>
      </c>
    </row>
    <row r="3" spans="1:15">
      <c r="A3" s="7" t="s">
        <v>72</v>
      </c>
      <c r="B3" s="12" t="str">
        <f>sw公用路径&amp;"\文件模板"</f>
        <v>D:\00gyk\00sw公用\文件模板</v>
      </c>
      <c r="C3" s="11"/>
      <c r="D3" s="11" t="s">
        <v>73</v>
      </c>
      <c r="E3" s="11" t="s">
        <v>36</v>
      </c>
      <c r="F3" s="5" t="s">
        <v>74</v>
      </c>
      <c r="I3" t="s">
        <v>75</v>
      </c>
    </row>
    <row r="4" spans="1:15" ht="18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76</v>
      </c>
      <c r="E4" s="11" t="s">
        <v>77</v>
      </c>
      <c r="I4" t="s">
        <v>78</v>
      </c>
    </row>
    <row r="5" spans="1:15">
      <c r="D5" s="11"/>
      <c r="E5" s="11" t="s">
        <v>79</v>
      </c>
      <c r="I5" t="s">
        <v>80</v>
      </c>
    </row>
    <row r="6" spans="1:15">
      <c r="E6" s="11" t="s">
        <v>81</v>
      </c>
      <c r="I6" t="s">
        <v>82</v>
      </c>
    </row>
    <row r="7" spans="1:15">
      <c r="E7" s="11"/>
      <c r="I7" t="s">
        <v>83</v>
      </c>
    </row>
    <row r="8" spans="1:15">
      <c r="I8" t="s">
        <v>84</v>
      </c>
    </row>
    <row r="9" spans="1:15">
      <c r="I9" t="s">
        <v>85</v>
      </c>
    </row>
    <row r="10" spans="1:15">
      <c r="I10" t="s">
        <v>86</v>
      </c>
    </row>
    <row r="11" spans="1:15">
      <c r="I11" t="s">
        <v>87</v>
      </c>
    </row>
    <row r="12" spans="1:15">
      <c r="I12" t="s">
        <v>88</v>
      </c>
    </row>
    <row r="13" spans="1:15">
      <c r="I13" t="s">
        <v>89</v>
      </c>
    </row>
    <row r="14" spans="1:15">
      <c r="I14" t="s">
        <v>90</v>
      </c>
    </row>
    <row r="15" spans="1:15">
      <c r="I15" t="s">
        <v>91</v>
      </c>
    </row>
    <row r="16" spans="1:15">
      <c r="C16" s="13"/>
      <c r="I16" t="s">
        <v>92</v>
      </c>
    </row>
    <row r="17" spans="2:9">
      <c r="I17" t="s">
        <v>93</v>
      </c>
    </row>
    <row r="19" spans="2:9">
      <c r="B19" s="14" t="s">
        <v>42</v>
      </c>
    </row>
    <row r="41" spans="6:6">
      <c r="F41" s="5" t="s">
        <v>94</v>
      </c>
    </row>
    <row r="89" spans="6:6">
      <c r="F89" s="5" t="s">
        <v>95</v>
      </c>
    </row>
  </sheetData>
  <phoneticPr fontId="20" type="noConversion"/>
  <pageMargins left="0.7" right="0.7" top="0.75" bottom="0.75" header="0.3" footer="0.3"/>
  <pageSetup paperSize="9" orientation="portrait"/>
  <legacyDrawing r:id="rId1"/>
  <controls>
    <control shapeId="2049" r:id="rId2" name="CommandButton列出文件夹"/>
    <control shapeId="2050" r:id="rId3" name="CheckBox搜索子文件夹"/>
    <control shapeId="2051" r:id="rId4" name="CommandButton添加到sw搜索路径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4.4"/>
  <cols>
    <col min="1" max="12" width="8.6640625" style="3" customWidth="1"/>
    <col min="13" max="16384" width="9" style="3"/>
  </cols>
  <sheetData>
    <row r="1" spans="1:12" s="1" customFormat="1" ht="57.6">
      <c r="A1" s="1" t="s">
        <v>96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4" t="s">
        <v>102</v>
      </c>
      <c r="H1" s="1" t="s">
        <v>103</v>
      </c>
      <c r="I1" s="4" t="s">
        <v>104</v>
      </c>
      <c r="J1" s="1" t="s">
        <v>105</v>
      </c>
      <c r="K1" s="1" t="s">
        <v>106</v>
      </c>
      <c r="L1" s="1" t="s">
        <v>107</v>
      </c>
    </row>
    <row r="2" spans="1:12">
      <c r="A2" s="3" t="s">
        <v>108</v>
      </c>
      <c r="B2" s="3">
        <v>5</v>
      </c>
      <c r="C2" s="3">
        <v>5</v>
      </c>
      <c r="D2" s="3" t="s">
        <v>109</v>
      </c>
      <c r="E2" s="3" t="s">
        <v>110</v>
      </c>
      <c r="F2" s="3">
        <v>0.02</v>
      </c>
      <c r="G2" s="3">
        <v>3</v>
      </c>
      <c r="H2" s="3" t="s">
        <v>111</v>
      </c>
      <c r="I2" s="3">
        <v>2.2999999999999998</v>
      </c>
      <c r="J2" s="3" t="s">
        <v>111</v>
      </c>
      <c r="K2" s="3">
        <v>0.16</v>
      </c>
      <c r="L2" s="3">
        <v>0.25</v>
      </c>
    </row>
    <row r="3" spans="1:12">
      <c r="A3" s="3" t="s">
        <v>112</v>
      </c>
      <c r="B3" s="3">
        <v>6</v>
      </c>
      <c r="C3" s="3">
        <v>6</v>
      </c>
      <c r="D3" s="3" t="s">
        <v>109</v>
      </c>
      <c r="E3" s="3" t="s">
        <v>113</v>
      </c>
      <c r="F3" s="3">
        <v>2.8000000000000001E-2</v>
      </c>
      <c r="G3" s="3">
        <v>3.5</v>
      </c>
      <c r="H3" s="3" t="s">
        <v>114</v>
      </c>
      <c r="I3" s="3">
        <v>2.8</v>
      </c>
      <c r="J3" s="3" t="s">
        <v>114</v>
      </c>
      <c r="K3" s="3">
        <v>0.16</v>
      </c>
      <c r="L3" s="3">
        <v>0.25</v>
      </c>
    </row>
    <row r="4" spans="1:12">
      <c r="A4" s="3" t="s">
        <v>115</v>
      </c>
      <c r="B4" s="3">
        <v>8</v>
      </c>
      <c r="C4" s="3">
        <v>7</v>
      </c>
      <c r="D4" s="3" t="s">
        <v>109</v>
      </c>
      <c r="E4" s="3" t="s">
        <v>116</v>
      </c>
      <c r="F4" s="3">
        <v>4.3999999999999997E-2</v>
      </c>
      <c r="G4" s="3">
        <v>4</v>
      </c>
      <c r="H4" s="3" t="s">
        <v>114</v>
      </c>
      <c r="I4" s="3">
        <v>3.3</v>
      </c>
      <c r="J4" s="3" t="s">
        <v>114</v>
      </c>
      <c r="K4" s="3">
        <v>0.16</v>
      </c>
      <c r="L4" s="3">
        <v>0.25</v>
      </c>
    </row>
    <row r="5" spans="1:12">
      <c r="A5" s="3" t="s">
        <v>117</v>
      </c>
      <c r="B5" s="3">
        <v>10</v>
      </c>
      <c r="C5" s="3">
        <v>8</v>
      </c>
      <c r="D5" s="3" t="s">
        <v>118</v>
      </c>
      <c r="E5" s="3" t="s">
        <v>119</v>
      </c>
      <c r="F5" s="3">
        <v>6.3E-2</v>
      </c>
      <c r="G5" s="3">
        <v>5</v>
      </c>
      <c r="H5" s="3" t="s">
        <v>114</v>
      </c>
      <c r="I5" s="3">
        <v>3.3</v>
      </c>
      <c r="J5" s="3" t="s">
        <v>114</v>
      </c>
      <c r="K5" s="3">
        <v>0.25</v>
      </c>
      <c r="L5" s="3">
        <v>0.4</v>
      </c>
    </row>
    <row r="6" spans="1:12">
      <c r="A6" s="3" t="s">
        <v>120</v>
      </c>
      <c r="B6" s="3">
        <v>12</v>
      </c>
      <c r="C6" s="3">
        <v>8</v>
      </c>
      <c r="D6" s="3" t="s">
        <v>118</v>
      </c>
      <c r="E6" s="3" t="s">
        <v>121</v>
      </c>
      <c r="F6" s="3">
        <v>7.4999999999999997E-2</v>
      </c>
      <c r="G6" s="3">
        <v>5</v>
      </c>
      <c r="H6" s="3" t="s">
        <v>114</v>
      </c>
      <c r="I6" s="3">
        <v>3.3</v>
      </c>
      <c r="J6" s="3" t="s">
        <v>114</v>
      </c>
      <c r="K6" s="3">
        <v>0.25</v>
      </c>
      <c r="L6" s="3">
        <v>0.4</v>
      </c>
    </row>
    <row r="7" spans="1:12">
      <c r="A7" s="3" t="s">
        <v>122</v>
      </c>
      <c r="B7" s="3">
        <v>14</v>
      </c>
      <c r="C7" s="3">
        <v>9</v>
      </c>
      <c r="D7" s="3" t="s">
        <v>118</v>
      </c>
      <c r="E7" s="3" t="s">
        <v>123</v>
      </c>
      <c r="F7" s="3">
        <v>9.9000000000000005E-2</v>
      </c>
      <c r="G7" s="3">
        <v>5.5</v>
      </c>
      <c r="H7" s="3" t="s">
        <v>114</v>
      </c>
      <c r="I7" s="3">
        <v>3.8</v>
      </c>
      <c r="J7" s="3" t="s">
        <v>114</v>
      </c>
      <c r="K7" s="3">
        <v>0.25</v>
      </c>
      <c r="L7" s="3">
        <v>0.4</v>
      </c>
    </row>
    <row r="9" spans="1:12" s="1" customFormat="1" ht="26.25" customHeight="1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4.4"/>
  <cols>
    <col min="1" max="15" width="7.6640625" style="3" customWidth="1"/>
    <col min="16" max="16" width="8.6640625" style="3" customWidth="1"/>
    <col min="17" max="16384" width="9" style="3"/>
  </cols>
  <sheetData>
    <row r="1" spans="1:15" s="1" customFormat="1" ht="57.6">
      <c r="A1" s="1" t="s">
        <v>124</v>
      </c>
      <c r="B1" s="1" t="s">
        <v>125</v>
      </c>
      <c r="C1" s="1" t="s">
        <v>126</v>
      </c>
      <c r="D1" s="1" t="s">
        <v>127</v>
      </c>
      <c r="E1" s="1" t="s">
        <v>128</v>
      </c>
      <c r="F1" s="1" t="s">
        <v>129</v>
      </c>
      <c r="G1" s="1" t="s">
        <v>130</v>
      </c>
      <c r="H1" s="1" t="s">
        <v>131</v>
      </c>
      <c r="I1" s="4" t="s">
        <v>132</v>
      </c>
      <c r="J1" s="1" t="s">
        <v>133</v>
      </c>
      <c r="K1" s="4" t="s">
        <v>134</v>
      </c>
      <c r="L1" s="1" t="s">
        <v>135</v>
      </c>
      <c r="M1" s="4" t="s">
        <v>136</v>
      </c>
      <c r="N1" s="1" t="s">
        <v>137</v>
      </c>
      <c r="O1" s="1" t="s">
        <v>138</v>
      </c>
    </row>
    <row r="2" spans="1:15" s="2" customFormat="1">
      <c r="A2" s="2">
        <v>15</v>
      </c>
      <c r="B2" s="2">
        <v>13.8</v>
      </c>
      <c r="C2" s="2" t="s">
        <v>139</v>
      </c>
      <c r="D2" s="2">
        <v>1</v>
      </c>
      <c r="E2" s="2" t="s">
        <v>140</v>
      </c>
      <c r="F2" s="2">
        <v>1.7</v>
      </c>
      <c r="G2" s="3">
        <v>2</v>
      </c>
      <c r="H2" s="3">
        <v>2</v>
      </c>
      <c r="I2" s="3">
        <v>14.3</v>
      </c>
      <c r="J2" s="3" t="s">
        <v>141</v>
      </c>
      <c r="K2" s="3">
        <v>1.1000000000000001</v>
      </c>
      <c r="L2" s="3" t="s">
        <v>142</v>
      </c>
      <c r="M2" s="3">
        <v>1.1000000000000001</v>
      </c>
      <c r="N2" s="3">
        <v>23.2</v>
      </c>
      <c r="O2" s="3">
        <v>0.67</v>
      </c>
    </row>
    <row r="3" spans="1:15" s="2" customFormat="1">
      <c r="A3" s="2">
        <v>25</v>
      </c>
      <c r="B3" s="2">
        <v>23.2</v>
      </c>
      <c r="C3" s="2" t="s">
        <v>143</v>
      </c>
      <c r="D3" s="2">
        <v>1.2</v>
      </c>
      <c r="E3" s="2" t="s">
        <v>140</v>
      </c>
      <c r="F3" s="2">
        <v>2</v>
      </c>
      <c r="G3" s="2">
        <v>3.32</v>
      </c>
      <c r="H3" s="2">
        <v>3.32</v>
      </c>
      <c r="I3" s="2">
        <v>23.9</v>
      </c>
      <c r="J3" s="2" t="s">
        <v>144</v>
      </c>
      <c r="K3" s="2">
        <v>1.3</v>
      </c>
      <c r="L3" s="2" t="s">
        <v>142</v>
      </c>
      <c r="M3" s="2">
        <v>1.7</v>
      </c>
      <c r="N3" s="2">
        <v>35</v>
      </c>
      <c r="O3" s="2">
        <v>1.9</v>
      </c>
    </row>
    <row r="4" spans="1:15" s="2" customFormat="1">
      <c r="A4" s="2">
        <v>30</v>
      </c>
      <c r="B4" s="2">
        <v>27.9</v>
      </c>
      <c r="C4" s="2" t="s">
        <v>145</v>
      </c>
      <c r="D4" s="2">
        <v>1.2</v>
      </c>
      <c r="E4" s="2" t="s">
        <v>146</v>
      </c>
      <c r="F4" s="2">
        <v>2</v>
      </c>
      <c r="G4" s="2">
        <v>3.72</v>
      </c>
      <c r="H4" s="2">
        <v>3.72</v>
      </c>
      <c r="I4" s="2">
        <v>28.6</v>
      </c>
      <c r="J4" s="2" t="s">
        <v>147</v>
      </c>
      <c r="K4" s="2">
        <v>1.3</v>
      </c>
      <c r="L4" s="2" t="s">
        <v>148</v>
      </c>
      <c r="M4" s="2">
        <v>2.1</v>
      </c>
      <c r="N4" s="2">
        <v>42</v>
      </c>
      <c r="O4" s="2">
        <v>3.32</v>
      </c>
    </row>
    <row r="5" spans="1:15" s="2" customFormat="1">
      <c r="A5" s="2">
        <v>45</v>
      </c>
      <c r="B5" s="2">
        <v>41.5</v>
      </c>
      <c r="C5" s="2" t="s">
        <v>149</v>
      </c>
      <c r="D5" s="2">
        <v>1.5</v>
      </c>
      <c r="E5" s="2" t="s">
        <v>150</v>
      </c>
      <c r="F5" s="2">
        <v>3</v>
      </c>
      <c r="G5" s="2">
        <v>5</v>
      </c>
      <c r="H5" s="2">
        <v>5</v>
      </c>
      <c r="I5" s="2">
        <v>42.5</v>
      </c>
      <c r="J5" s="2" t="s">
        <v>151</v>
      </c>
      <c r="K5" s="2">
        <v>1.7</v>
      </c>
      <c r="L5" s="2" t="s">
        <v>142</v>
      </c>
      <c r="M5" s="2">
        <v>3.8</v>
      </c>
      <c r="N5" s="2">
        <v>59.4</v>
      </c>
      <c r="O5" s="2">
        <v>7.6</v>
      </c>
    </row>
    <row r="6" spans="1:15" s="2" customFormat="1">
      <c r="A6" s="2">
        <v>85</v>
      </c>
      <c r="B6" s="2">
        <v>79.5</v>
      </c>
      <c r="C6" s="2" t="s">
        <v>152</v>
      </c>
      <c r="D6" s="2">
        <v>2.5</v>
      </c>
      <c r="E6" s="2" t="s">
        <v>153</v>
      </c>
      <c r="F6" s="2">
        <v>3</v>
      </c>
      <c r="G6" s="2">
        <v>7</v>
      </c>
      <c r="H6" s="2">
        <v>7</v>
      </c>
      <c r="I6" s="2">
        <v>81.5</v>
      </c>
      <c r="J6" s="2" t="s">
        <v>154</v>
      </c>
      <c r="K6" s="2">
        <v>2.7</v>
      </c>
      <c r="L6" s="2" t="s">
        <v>142</v>
      </c>
      <c r="M6" s="2">
        <v>5.3</v>
      </c>
      <c r="N6" s="2">
        <v>104</v>
      </c>
      <c r="O6" s="2">
        <v>30.3</v>
      </c>
    </row>
    <row r="8" spans="1:15" s="1" customFormat="1" ht="57.6">
      <c r="A8" s="1" t="s">
        <v>155</v>
      </c>
      <c r="B8" s="1" t="s">
        <v>156</v>
      </c>
      <c r="C8" s="1" t="s">
        <v>157</v>
      </c>
      <c r="D8" s="1" t="s">
        <v>127</v>
      </c>
      <c r="E8" s="1" t="s">
        <v>128</v>
      </c>
      <c r="F8" s="1" t="s">
        <v>129</v>
      </c>
      <c r="G8" s="1" t="s">
        <v>130</v>
      </c>
      <c r="I8" s="4" t="s">
        <v>132</v>
      </c>
      <c r="J8" s="1" t="s">
        <v>133</v>
      </c>
      <c r="K8" s="4" t="s">
        <v>134</v>
      </c>
      <c r="L8" s="1" t="s">
        <v>135</v>
      </c>
      <c r="M8" s="4" t="s">
        <v>136</v>
      </c>
      <c r="N8" s="1" t="s">
        <v>158</v>
      </c>
      <c r="O8" s="1" t="s">
        <v>159</v>
      </c>
    </row>
    <row r="9" spans="1:15" s="2" customFormat="1">
      <c r="A9" s="2">
        <v>85</v>
      </c>
      <c r="B9" s="2">
        <v>90.5</v>
      </c>
      <c r="C9" s="2" t="s">
        <v>160</v>
      </c>
      <c r="D9" s="2">
        <v>2.5</v>
      </c>
      <c r="E9" s="2" t="s">
        <v>153</v>
      </c>
      <c r="F9" s="2">
        <v>3</v>
      </c>
      <c r="G9" s="2">
        <v>6.8</v>
      </c>
      <c r="I9" s="2">
        <v>88.5</v>
      </c>
      <c r="J9" s="2" t="s">
        <v>161</v>
      </c>
      <c r="K9" s="2">
        <v>2.7</v>
      </c>
      <c r="L9" s="2" t="s">
        <v>142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lk</cp:lastModifiedBy>
  <cp:lastPrinted>2018-04-17T00:32:00Z</cp:lastPrinted>
  <dcterms:created xsi:type="dcterms:W3CDTF">2017-09-21T05:58:00Z</dcterms:created>
  <dcterms:modified xsi:type="dcterms:W3CDTF">2019-11-26T01:51:42Z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